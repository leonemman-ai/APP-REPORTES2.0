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300" yWindow="6100" windowWidth="12780" windowHeight="21260" tabRatio="600" firstSheet="0" activeTab="2" autoFilterDateGrouping="1"/>
  </bookViews>
  <sheets>
    <sheet name="Plantilla" sheetId="1" state="hidden" r:id="rId1"/>
    <sheet name="Hoja1 (2)" sheetId="2" state="hidden" r:id="rId2"/>
    <sheet name="Hoj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ptos"/>
      <family val="2"/>
      <color rgb="FF000000"/>
      <sz val="9"/>
    </font>
    <font>
      <name val="Aptos"/>
      <family val="2"/>
      <b val="1"/>
      <sz val="9"/>
    </font>
    <font>
      <name val="Aptos"/>
      <family val="2"/>
      <sz val="9"/>
    </font>
    <font>
      <name val="Times New Roman"/>
      <family val="1"/>
      <color rgb="FF000000"/>
      <sz val="10"/>
    </font>
    <font>
      <name val="Times New Roman"/>
      <family val="1"/>
      <color rgb="FF000000"/>
      <sz val="6"/>
    </font>
    <font>
      <name val="Times New Roman"/>
      <family val="1"/>
      <color rgb="FF000000"/>
      <sz val="10"/>
      <u val="single"/>
    </font>
    <font>
      <name val="Times New Roman"/>
      <family val="1"/>
      <color rgb="FF000000"/>
      <sz val="9"/>
    </font>
    <font>
      <name val="Times New Roman"/>
      <family val="1"/>
      <color rgb="FF000000"/>
      <sz val="8"/>
    </font>
    <font>
      <name val="Times New Roman"/>
      <family val="1"/>
      <i val="1"/>
      <color rgb="FF000000"/>
      <sz val="5"/>
    </font>
    <font>
      <name val="Times New Roman"/>
      <family val="1"/>
      <color rgb="FF000000"/>
      <sz val="5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ptos"/>
      <family val="2"/>
      <b val="1"/>
      <color rgb="FF000000"/>
      <sz val="9"/>
    </font>
  </fonts>
  <fills count="1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 wrapText="1"/>
    </xf>
    <xf numFmtId="0" fontId="4" fillId="3" borderId="23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4" fillId="5" borderId="13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 wrapText="1"/>
    </xf>
    <xf numFmtId="0" fontId="4" fillId="5" borderId="18" applyAlignment="1" pivotButton="0" quotePrefix="0" xfId="0">
      <alignment horizontal="center" vertical="center"/>
    </xf>
    <xf numFmtId="0" fontId="2" fillId="5" borderId="19" applyAlignment="1" pivotButton="0" quotePrefix="0" xfId="0">
      <alignment horizontal="center" vertical="center" wrapText="1"/>
    </xf>
    <xf numFmtId="0" fontId="2" fillId="3" borderId="22" applyAlignment="1" pivotButton="0" quotePrefix="0" xfId="0">
      <alignment horizontal="center" vertical="center"/>
    </xf>
    <xf numFmtId="0" fontId="2" fillId="3" borderId="30" applyAlignment="1" pivotButton="0" quotePrefix="0" xfId="0">
      <alignment horizontal="center" vertical="center"/>
    </xf>
    <xf numFmtId="0" fontId="2" fillId="3" borderId="31" applyAlignment="1" pivotButton="0" quotePrefix="0" xfId="0">
      <alignment horizontal="center" vertical="center"/>
    </xf>
    <xf numFmtId="0" fontId="4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2" fillId="4" borderId="33" applyAlignment="1" pivotButton="0" quotePrefix="0" xfId="0">
      <alignment vertical="center" wrapText="1"/>
    </xf>
    <xf numFmtId="0" fontId="2" fillId="0" borderId="34" applyAlignment="1" pivotButton="0" quotePrefix="0" xfId="0">
      <alignment horizontal="center" vertical="center"/>
    </xf>
    <xf numFmtId="0" fontId="2" fillId="6" borderId="14" applyAlignment="1" pivotButton="0" quotePrefix="0" xfId="0">
      <alignment horizontal="center" vertical="center"/>
    </xf>
    <xf numFmtId="0" fontId="2" fillId="7" borderId="14" applyAlignment="1" pivotButton="0" quotePrefix="0" xfId="0">
      <alignment horizontal="center" vertical="center"/>
    </xf>
    <xf numFmtId="0" fontId="2" fillId="7" borderId="15" applyAlignment="1" pivotButton="0" quotePrefix="0" xfId="0">
      <alignment horizontal="center" vertical="center"/>
    </xf>
    <xf numFmtId="0" fontId="4" fillId="4" borderId="18" applyAlignment="1" pivotButton="0" quotePrefix="0" xfId="0">
      <alignment horizontal="center" vertical="center"/>
    </xf>
    <xf numFmtId="0" fontId="2" fillId="4" borderId="30" applyAlignment="1" pivotButton="0" quotePrefix="0" xfId="0">
      <alignment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6" borderId="19" applyAlignment="1" pivotButton="0" quotePrefix="0" xfId="0">
      <alignment horizontal="center" vertical="center"/>
    </xf>
    <xf numFmtId="0" fontId="2" fillId="7" borderId="19" applyAlignment="1" pivotButton="0" quotePrefix="0" xfId="0">
      <alignment horizontal="center" vertical="center"/>
    </xf>
    <xf numFmtId="0" fontId="2" fillId="7" borderId="20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0" fontId="4" fillId="4" borderId="26" applyAlignment="1" pivotButton="0" quotePrefix="0" xfId="0">
      <alignment horizontal="center" vertical="center"/>
    </xf>
    <xf numFmtId="0" fontId="2" fillId="4" borderId="32" applyAlignment="1" pivotButton="0" quotePrefix="0" xfId="0">
      <alignment vertical="center" wrapText="1"/>
    </xf>
    <xf numFmtId="0" fontId="2" fillId="0" borderId="36" applyAlignment="1" pivotButton="0" quotePrefix="0" xfId="0">
      <alignment horizontal="center" vertical="center"/>
    </xf>
    <xf numFmtId="0" fontId="2" fillId="6" borderId="27" applyAlignment="1" pivotButton="0" quotePrefix="0" xfId="0">
      <alignment horizontal="center" vertical="center"/>
    </xf>
    <xf numFmtId="0" fontId="2" fillId="7" borderId="27" applyAlignment="1" pivotButton="0" quotePrefix="0" xfId="0">
      <alignment horizontal="center" vertical="center"/>
    </xf>
    <xf numFmtId="0" fontId="2" fillId="7" borderId="28" applyAlignment="1" pivotButton="0" quotePrefix="0" xfId="0">
      <alignment horizontal="center" vertical="center"/>
    </xf>
    <xf numFmtId="0" fontId="4" fillId="8" borderId="37" applyAlignment="1" pivotButton="0" quotePrefix="0" xfId="0">
      <alignment horizontal="center" vertical="center"/>
    </xf>
    <xf numFmtId="0" fontId="2" fillId="8" borderId="31" applyAlignment="1" pivotButton="0" quotePrefix="0" xfId="0">
      <alignment vertical="center" wrapText="1"/>
    </xf>
    <xf numFmtId="0" fontId="2" fillId="6" borderId="31" applyAlignment="1" pivotButton="0" quotePrefix="0" xfId="0">
      <alignment horizontal="center" vertical="center"/>
    </xf>
    <xf numFmtId="0" fontId="2" fillId="7" borderId="31" applyAlignment="1" pivotButton="0" quotePrefix="0" xfId="0">
      <alignment horizontal="center" vertical="center"/>
    </xf>
    <xf numFmtId="0" fontId="2" fillId="7" borderId="38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2" fillId="8" borderId="19" applyAlignment="1" pivotButton="0" quotePrefix="0" xfId="0">
      <alignment vertical="center" wrapText="1"/>
    </xf>
    <xf numFmtId="0" fontId="2" fillId="3" borderId="19" applyAlignment="1" pivotButton="0" quotePrefix="0" xfId="0">
      <alignment horizontal="center" vertical="center"/>
    </xf>
    <xf numFmtId="0" fontId="2" fillId="8" borderId="19" applyAlignment="1" pivotButton="0" quotePrefix="0" xfId="0">
      <alignment horizontal="left" vertical="center" wrapText="1" indent="1"/>
    </xf>
    <xf numFmtId="0" fontId="2" fillId="9" borderId="19" applyAlignment="1" pivotButton="0" quotePrefix="0" xfId="0">
      <alignment horizontal="center" vertical="center"/>
    </xf>
    <xf numFmtId="0" fontId="2" fillId="9" borderId="20" applyAlignment="1" pivotButton="0" quotePrefix="0" xfId="0">
      <alignment horizontal="center" vertical="center"/>
    </xf>
    <xf numFmtId="0" fontId="2" fillId="10" borderId="19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4" fillId="8" borderId="26" applyAlignment="1" pivotButton="0" quotePrefix="0" xfId="0">
      <alignment horizontal="center" vertical="center"/>
    </xf>
    <xf numFmtId="0" fontId="2" fillId="8" borderId="27" applyAlignment="1" pivotButton="0" quotePrefix="0" xfId="0">
      <alignment vertical="center" wrapText="1"/>
    </xf>
    <xf numFmtId="0" fontId="2" fillId="10" borderId="27" applyAlignment="1" pivotButton="0" quotePrefix="0" xfId="0">
      <alignment horizontal="center" vertical="center"/>
    </xf>
    <xf numFmtId="0" fontId="2" fillId="7" borderId="40" applyAlignment="1" pivotButton="0" quotePrefix="0" xfId="0">
      <alignment horizontal="center" vertical="center"/>
    </xf>
    <xf numFmtId="0" fontId="2" fillId="7" borderId="41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7" borderId="42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center" vertical="top" wrapText="1"/>
    </xf>
    <xf numFmtId="0" fontId="5" fillId="11" borderId="46" applyAlignment="1" pivotButton="0" quotePrefix="0" xfId="0">
      <alignment horizontal="center" vertical="top"/>
    </xf>
    <xf numFmtId="0" fontId="5" fillId="0" borderId="46" applyAlignment="1" pivotButton="0" quotePrefix="0" xfId="0">
      <alignment horizontal="left" vertical="top"/>
    </xf>
    <xf numFmtId="0" fontId="5" fillId="11" borderId="46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12" fillId="0" borderId="0" pivotButton="0" quotePrefix="0" xfId="0"/>
    <xf numFmtId="0" fontId="12" fillId="12" borderId="0" pivotButton="0" quotePrefix="0" xfId="0"/>
    <xf numFmtId="0" fontId="13" fillId="12" borderId="0" applyAlignment="1" pivotButton="0" quotePrefix="0" xfId="0">
      <alignment horizontal="center" vertical="center"/>
    </xf>
    <xf numFmtId="0" fontId="13" fillId="0" borderId="0" pivotButton="0" quotePrefix="0" xfId="0"/>
    <xf numFmtId="0" fontId="13" fillId="12" borderId="0" pivotButton="0" quotePrefix="0" xfId="0"/>
    <xf numFmtId="0" fontId="13" fillId="12" borderId="0" applyAlignment="1" pivotButton="0" quotePrefix="0" xfId="0">
      <alignment horizontal="left" vertical="top"/>
    </xf>
    <xf numFmtId="0" fontId="12" fillId="12" borderId="0" applyAlignment="1" pivotButton="0" quotePrefix="0" xfId="0">
      <alignment horizontal="left" vertical="top"/>
    </xf>
    <xf numFmtId="22" fontId="12" fillId="12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top"/>
    </xf>
    <xf numFmtId="0" fontId="12" fillId="12" borderId="0" applyAlignment="1" pivotButton="0" quotePrefix="0" xfId="0">
      <alignment vertical="center"/>
    </xf>
    <xf numFmtId="14" fontId="12" fillId="12" borderId="0" applyAlignment="1" pivotButton="0" quotePrefix="0" xfId="0">
      <alignment horizontal="center" vertical="center" wrapText="1"/>
    </xf>
    <xf numFmtId="14" fontId="12" fillId="12" borderId="0" pivotButton="0" quotePrefix="0" xfId="0"/>
    <xf numFmtId="0" fontId="12" fillId="0" borderId="36" applyAlignment="1" pivotButton="0" quotePrefix="0" xfId="0">
      <alignment horizontal="center" vertical="center"/>
    </xf>
    <xf numFmtId="0" fontId="9" fillId="0" borderId="46" applyAlignment="1" pivotButton="0" quotePrefix="0" xfId="0">
      <alignment horizontal="center" vertical="top"/>
    </xf>
    <xf numFmtId="0" fontId="5" fillId="0" borderId="46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5" fillId="0" borderId="49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 wrapText="1"/>
    </xf>
    <xf numFmtId="0" fontId="5" fillId="11" borderId="46" applyAlignment="1" pivotButton="0" quotePrefix="0" xfId="0">
      <alignment horizontal="center" vertical="top"/>
    </xf>
    <xf numFmtId="0" fontId="5" fillId="11" borderId="47" applyAlignment="1" pivotButton="0" quotePrefix="0" xfId="0">
      <alignment horizontal="center" vertical="top"/>
    </xf>
    <xf numFmtId="0" fontId="5" fillId="11" borderId="50" applyAlignment="1" pivotButton="0" quotePrefix="0" xfId="0">
      <alignment horizontal="center" vertical="top"/>
    </xf>
    <xf numFmtId="0" fontId="5" fillId="11" borderId="48" applyAlignment="1" pivotButton="0" quotePrefix="0" xfId="0">
      <alignment horizontal="center" vertical="top"/>
    </xf>
    <xf numFmtId="0" fontId="5" fillId="0" borderId="46" applyAlignment="1" pivotButton="0" quotePrefix="0" xfId="0">
      <alignment horizontal="center" vertical="center"/>
    </xf>
    <xf numFmtId="0" fontId="5" fillId="0" borderId="46" applyAlignment="1" pivotButton="0" quotePrefix="0" xfId="0">
      <alignment horizontal="left" vertical="top"/>
    </xf>
    <xf numFmtId="0" fontId="8" fillId="0" borderId="46" applyAlignment="1" pivotButton="0" quotePrefix="0" xfId="0">
      <alignment horizontal="left" vertical="top"/>
    </xf>
    <xf numFmtId="0" fontId="5" fillId="0" borderId="0" applyAlignment="1" pivotButton="0" quotePrefix="0" xfId="0">
      <alignment horizontal="center" vertical="top"/>
    </xf>
    <xf numFmtId="0" fontId="5" fillId="11" borderId="47" applyAlignment="1" pivotButton="0" quotePrefix="0" xfId="0">
      <alignment horizontal="center" vertical="top" wrapText="1"/>
    </xf>
    <xf numFmtId="0" fontId="5" fillId="11" borderId="48" applyAlignment="1" pivotButton="0" quotePrefix="0" xfId="0">
      <alignment horizontal="center" vertical="top" wrapText="1"/>
    </xf>
    <xf numFmtId="0" fontId="5" fillId="11" borderId="46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/>
    </xf>
    <xf numFmtId="0" fontId="12" fillId="12" borderId="0" applyAlignment="1" pivotButton="0" quotePrefix="0" xfId="0">
      <alignment horizontal="center"/>
    </xf>
    <xf numFmtId="0" fontId="12" fillId="0" borderId="47" applyAlignment="1" pivotButton="0" quotePrefix="0" xfId="0">
      <alignment horizontal="center"/>
    </xf>
    <xf numFmtId="0" fontId="12" fillId="0" borderId="50" applyAlignment="1" pivotButton="0" quotePrefix="0" xfId="0">
      <alignment horizontal="center"/>
    </xf>
    <xf numFmtId="0" fontId="12" fillId="0" borderId="48" applyAlignment="1" pivotButton="0" quotePrefix="0" xfId="0">
      <alignment horizontal="center"/>
    </xf>
    <xf numFmtId="0" fontId="1" fillId="13" borderId="47" applyAlignment="1" pivotButton="0" quotePrefix="0" xfId="0">
      <alignment horizontal="center"/>
    </xf>
    <xf numFmtId="0" fontId="12" fillId="13" borderId="50" applyAlignment="1" pivotButton="0" quotePrefix="0" xfId="0">
      <alignment horizontal="center"/>
    </xf>
    <xf numFmtId="0" fontId="12" fillId="13" borderId="48" applyAlignment="1" pivotButton="0" quotePrefix="0" xfId="0">
      <alignment horizontal="center"/>
    </xf>
    <xf numFmtId="0" fontId="1" fillId="15" borderId="47" applyAlignment="1" pivotButton="0" quotePrefix="0" xfId="0">
      <alignment horizontal="center"/>
    </xf>
    <xf numFmtId="0" fontId="12" fillId="15" borderId="50" applyAlignment="1" pivotButton="0" quotePrefix="0" xfId="0">
      <alignment horizontal="center"/>
    </xf>
    <xf numFmtId="0" fontId="12" fillId="15" borderId="48" applyAlignment="1" pivotButton="0" quotePrefix="0" xfId="0">
      <alignment horizontal="center"/>
    </xf>
    <xf numFmtId="22" fontId="12" fillId="12" borderId="49" applyAlignment="1" pivotButton="0" quotePrefix="0" xfId="0">
      <alignment horizontal="center" vertical="top" wrapText="1"/>
    </xf>
    <xf numFmtId="0" fontId="12" fillId="12" borderId="49" applyAlignment="1" pivotButton="0" quotePrefix="0" xfId="0">
      <alignment horizontal="center" vertical="top" wrapText="1"/>
    </xf>
    <xf numFmtId="0" fontId="12" fillId="12" borderId="0" applyAlignment="1" pivotButton="0" quotePrefix="0" xfId="0">
      <alignment horizontal="center" vertical="top" wrapText="1"/>
    </xf>
    <xf numFmtId="0" fontId="12" fillId="0" borderId="65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71" applyAlignment="1" pivotButton="0" quotePrefix="0" xfId="0">
      <alignment horizontal="center" vertical="center"/>
    </xf>
    <xf numFmtId="0" fontId="12" fillId="0" borderId="66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3" fillId="14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13" fillId="13" borderId="65" applyAlignment="1" pivotButton="0" quotePrefix="0" xfId="0">
      <alignment horizontal="center" vertical="center"/>
    </xf>
    <xf numFmtId="0" fontId="13" fillId="13" borderId="34" applyAlignment="1" pivotButton="0" quotePrefix="0" xfId="0">
      <alignment horizontal="center" vertical="center"/>
    </xf>
    <xf numFmtId="0" fontId="13" fillId="13" borderId="79" applyAlignment="1" pivotButton="0" quotePrefix="0" xfId="0">
      <alignment horizontal="center" vertical="center"/>
    </xf>
    <xf numFmtId="0" fontId="13" fillId="13" borderId="5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13" fillId="13" borderId="81" applyAlignment="1" pivotButton="0" quotePrefix="0" xfId="0">
      <alignment horizontal="center" vertical="center"/>
    </xf>
    <xf numFmtId="0" fontId="13" fillId="13" borderId="76" applyAlignment="1" pivotButton="0" quotePrefix="0" xfId="0">
      <alignment horizontal="center" vertical="center"/>
    </xf>
    <xf numFmtId="0" fontId="13" fillId="13" borderId="69" applyAlignment="1" pivotButton="0" quotePrefix="0" xfId="0">
      <alignment horizontal="center" vertical="center"/>
    </xf>
    <xf numFmtId="0" fontId="13" fillId="13" borderId="83" applyAlignment="1" pivotButton="0" quotePrefix="0" xfId="0">
      <alignment horizontal="center" vertical="center"/>
    </xf>
    <xf numFmtId="0" fontId="12" fillId="0" borderId="80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/>
    </xf>
    <xf numFmtId="0" fontId="13" fillId="14" borderId="36" applyAlignment="1" pivotButton="0" quotePrefix="0" xfId="0">
      <alignment horizontal="center"/>
    </xf>
    <xf numFmtId="0" fontId="13" fillId="13" borderId="72" applyAlignment="1" pivotButton="0" quotePrefix="0" xfId="0">
      <alignment horizontal="left" vertical="center"/>
    </xf>
    <xf numFmtId="0" fontId="13" fillId="13" borderId="50" applyAlignment="1" pivotButton="0" quotePrefix="0" xfId="0">
      <alignment horizontal="left" vertical="center"/>
    </xf>
    <xf numFmtId="0" fontId="13" fillId="13" borderId="73" applyAlignment="1" pivotButton="0" quotePrefix="0" xfId="0">
      <alignment horizontal="left" vertical="center"/>
    </xf>
    <xf numFmtId="0" fontId="12" fillId="0" borderId="72" pivotButton="0" quotePrefix="0" xfId="0"/>
    <xf numFmtId="0" fontId="12" fillId="0" borderId="50" pivotButton="0" quotePrefix="0" xfId="0"/>
    <xf numFmtId="0" fontId="12" fillId="0" borderId="73" pivotButton="0" quotePrefix="0" xfId="0"/>
    <xf numFmtId="0" fontId="13" fillId="13" borderId="63" applyAlignment="1" pivotButton="0" quotePrefix="0" xfId="0">
      <alignment horizontal="left" vertical="center"/>
    </xf>
    <xf numFmtId="0" fontId="13" fillId="13" borderId="57" applyAlignment="1" pivotButton="0" quotePrefix="0" xfId="0">
      <alignment horizontal="left" vertical="center"/>
    </xf>
    <xf numFmtId="0" fontId="13" fillId="13" borderId="64" applyAlignment="1" pivotButton="0" quotePrefix="0" xfId="0">
      <alignment horizontal="left" vertical="center"/>
    </xf>
    <xf numFmtId="0" fontId="12" fillId="0" borderId="63" pivotButton="0" quotePrefix="0" xfId="0"/>
    <xf numFmtId="0" fontId="12" fillId="0" borderId="57" pivotButton="0" quotePrefix="0" xfId="0"/>
    <xf numFmtId="0" fontId="12" fillId="0" borderId="64" pivotButton="0" quotePrefix="0" xfId="0"/>
    <xf numFmtId="0" fontId="13" fillId="13" borderId="4" applyAlignment="1" pivotButton="0" quotePrefix="0" xfId="0">
      <alignment horizontal="center" vertical="center"/>
    </xf>
    <xf numFmtId="0" fontId="13" fillId="13" borderId="71" applyAlignment="1" pivotButton="0" quotePrefix="0" xfId="0">
      <alignment horizontal="center" vertical="center"/>
    </xf>
    <xf numFmtId="0" fontId="13" fillId="13" borderId="66" applyAlignment="1" pivotButton="0" quotePrefix="0" xfId="0">
      <alignment horizontal="center" vertical="center"/>
    </xf>
    <xf numFmtId="0" fontId="13" fillId="13" borderId="36" applyAlignment="1" pivotButton="0" quotePrefix="0" xfId="0">
      <alignment horizontal="center" vertical="center"/>
    </xf>
    <xf numFmtId="0" fontId="13" fillId="13" borderId="11" applyAlignment="1" pivotButton="0" quotePrefix="0" xfId="0">
      <alignment horizontal="center" vertical="center"/>
    </xf>
    <xf numFmtId="0" fontId="12" fillId="0" borderId="6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2" applyAlignment="1" pivotButton="0" quotePrefix="0" xfId="0">
      <alignment vertical="center"/>
    </xf>
    <xf numFmtId="0" fontId="12" fillId="0" borderId="50" applyAlignment="1" pivotButton="0" quotePrefix="0" xfId="0">
      <alignment vertical="center"/>
    </xf>
    <xf numFmtId="0" fontId="12" fillId="0" borderId="73" applyAlignment="1" pivotButton="0" quotePrefix="0" xfId="0">
      <alignment vertical="center"/>
    </xf>
    <xf numFmtId="0" fontId="12" fillId="12" borderId="34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top"/>
    </xf>
    <xf numFmtId="0" fontId="13" fillId="12" borderId="0" applyAlignment="1" pivotButton="0" quotePrefix="0" xfId="0">
      <alignment horizontal="center"/>
    </xf>
    <xf numFmtId="0" fontId="13" fillId="13" borderId="61" applyAlignment="1" pivotButton="0" quotePrefix="0" xfId="0">
      <alignment horizontal="left" vertical="center"/>
    </xf>
    <xf numFmtId="0" fontId="13" fillId="13" borderId="52" applyAlignment="1" pivotButton="0" quotePrefix="0" xfId="0">
      <alignment horizontal="left" vertical="center"/>
    </xf>
    <xf numFmtId="0" fontId="13" fillId="13" borderId="62" applyAlignment="1" pivotButton="0" quotePrefix="0" xfId="0">
      <alignment horizontal="left" vertical="center"/>
    </xf>
    <xf numFmtId="0" fontId="12" fillId="0" borderId="61" applyAlignment="1" pivotButton="0" quotePrefix="0" xfId="0">
      <alignment vertical="center"/>
    </xf>
    <xf numFmtId="0" fontId="12" fillId="0" borderId="52" applyAlignment="1" pivotButton="0" quotePrefix="0" xfId="0">
      <alignment vertical="center"/>
    </xf>
    <xf numFmtId="0" fontId="12" fillId="0" borderId="62" applyAlignment="1" pivotButton="0" quotePrefix="0" xfId="0">
      <alignment vertical="center"/>
    </xf>
    <xf numFmtId="0" fontId="13" fillId="13" borderId="72" applyAlignment="1" pivotButton="0" quotePrefix="0" xfId="0">
      <alignment horizontal="center" vertical="top"/>
    </xf>
    <xf numFmtId="0" fontId="13" fillId="13" borderId="50" applyAlignment="1" pivotButton="0" quotePrefix="0" xfId="0">
      <alignment horizontal="center" vertical="top"/>
    </xf>
    <xf numFmtId="0" fontId="13" fillId="13" borderId="73" applyAlignment="1" pivotButton="0" quotePrefix="0" xfId="0">
      <alignment horizontal="center" vertical="top"/>
    </xf>
    <xf numFmtId="0" fontId="13" fillId="13" borderId="1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3" fillId="13" borderId="3" applyAlignment="1" pivotButton="0" quotePrefix="0" xfId="0">
      <alignment horizontal="center" vertical="center"/>
    </xf>
    <xf numFmtId="0" fontId="12" fillId="0" borderId="74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3" fillId="13" borderId="74" applyAlignment="1" pivotButton="0" quotePrefix="0" xfId="0">
      <alignment horizontal="center" vertical="center" wrapText="1"/>
    </xf>
    <xf numFmtId="0" fontId="12" fillId="13" borderId="49" applyAlignment="1" pivotButton="0" quotePrefix="0" xfId="0">
      <alignment horizontal="center" vertical="center" wrapText="1"/>
    </xf>
    <xf numFmtId="0" fontId="12" fillId="13" borderId="5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3" borderId="71" applyAlignment="1" pivotButton="0" quotePrefix="0" xfId="0">
      <alignment horizontal="center" vertical="center" wrapText="1"/>
    </xf>
    <xf numFmtId="0" fontId="12" fillId="13" borderId="76" applyAlignment="1" pivotButton="0" quotePrefix="0" xfId="0">
      <alignment horizontal="center" vertical="center" wrapText="1"/>
    </xf>
    <xf numFmtId="0" fontId="12" fillId="13" borderId="69" applyAlignment="1" pivotButton="0" quotePrefix="0" xfId="0">
      <alignment horizontal="center" vertical="center" wrapText="1"/>
    </xf>
    <xf numFmtId="0" fontId="12" fillId="13" borderId="77" applyAlignment="1" pivotButton="0" quotePrefix="0" xfId="0">
      <alignment horizontal="center" vertical="center" wrapText="1"/>
    </xf>
    <xf numFmtId="0" fontId="13" fillId="13" borderId="78" applyAlignment="1" pivotButton="0" quotePrefix="0" xfId="0">
      <alignment horizontal="center" vertical="top"/>
    </xf>
    <xf numFmtId="22" fontId="12" fillId="0" borderId="65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top"/>
    </xf>
    <xf numFmtId="0" fontId="12" fillId="0" borderId="57" applyAlignment="1" pivotButton="0" quotePrefix="0" xfId="0">
      <alignment horizontal="center" vertical="top"/>
    </xf>
    <xf numFmtId="0" fontId="12" fillId="0" borderId="64" applyAlignment="1" pivotButton="0" quotePrefix="0" xfId="0">
      <alignment horizontal="center" vertical="top"/>
    </xf>
    <xf numFmtId="22" fontId="12" fillId="0" borderId="67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3" fillId="13" borderId="65" applyAlignment="1" pivotButton="0" quotePrefix="0" xfId="0">
      <alignment horizontal="left" vertical="top"/>
    </xf>
    <xf numFmtId="0" fontId="13" fillId="13" borderId="34" applyAlignment="1" pivotButton="0" quotePrefix="0" xfId="0">
      <alignment horizontal="left" vertical="top"/>
    </xf>
    <xf numFmtId="0" fontId="12" fillId="0" borderId="34" applyAlignment="1" pivotButton="0" quotePrefix="0" xfId="0">
      <alignment horizontal="center" vertical="top"/>
    </xf>
    <xf numFmtId="0" fontId="12" fillId="0" borderId="4" applyAlignment="1" pivotButton="0" quotePrefix="0" xfId="0">
      <alignment horizontal="center" vertical="top"/>
    </xf>
    <xf numFmtId="0" fontId="13" fillId="0" borderId="5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center" vertical="top" wrapText="1"/>
    </xf>
    <xf numFmtId="0" fontId="12" fillId="0" borderId="71" applyAlignment="1" pivotButton="0" quotePrefix="0" xfId="0">
      <alignment horizontal="center" vertical="top" wrapText="1"/>
    </xf>
    <xf numFmtId="0" fontId="13" fillId="13" borderId="66" applyAlignment="1" pivotButton="0" quotePrefix="0" xfId="0">
      <alignment horizontal="left" vertical="top"/>
    </xf>
    <xf numFmtId="0" fontId="13" fillId="13" borderId="36" applyAlignment="1" pivotButton="0" quotePrefix="0" xfId="0">
      <alignment horizontal="left" vertical="top"/>
    </xf>
    <xf numFmtId="0" fontId="12" fillId="0" borderId="36" applyAlignment="1" pivotButton="0" quotePrefix="0" xfId="0">
      <alignment horizontal="center" vertical="top"/>
    </xf>
    <xf numFmtId="0" fontId="12" fillId="0" borderId="11" applyAlignment="1" pivotButton="0" quotePrefix="0" xfId="0">
      <alignment horizontal="center" vertical="top"/>
    </xf>
    <xf numFmtId="0" fontId="12" fillId="0" borderId="67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/>
    </xf>
    <xf numFmtId="0" fontId="12" fillId="0" borderId="47" applyAlignment="1" pivotButton="0" quotePrefix="0" xfId="0">
      <alignment horizontal="center" vertical="center"/>
    </xf>
    <xf numFmtId="0" fontId="12" fillId="0" borderId="56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/>
    </xf>
    <xf numFmtId="0" fontId="12" fillId="0" borderId="54" applyAlignment="1" pivotButton="0" quotePrefix="0" xfId="0">
      <alignment horizontal="center" vertical="center"/>
    </xf>
    <xf numFmtId="0" fontId="12" fillId="0" borderId="55" applyAlignment="1" pivotButton="0" quotePrefix="0" xfId="0">
      <alignment horizontal="center" vertical="center"/>
    </xf>
    <xf numFmtId="0" fontId="12" fillId="0" borderId="59" applyAlignment="1" pivotButton="0" quotePrefix="0" xfId="0">
      <alignment horizontal="center" vertical="center"/>
    </xf>
    <xf numFmtId="0" fontId="12" fillId="0" borderId="60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0" fontId="12" fillId="0" borderId="60" applyAlignment="1" pivotButton="0" quotePrefix="0" xfId="0">
      <alignment horizontal="center" vertical="center" wrapText="1"/>
    </xf>
    <xf numFmtId="0" fontId="13" fillId="13" borderId="68" applyAlignment="1" pivotButton="0" quotePrefix="0" xfId="0">
      <alignment horizontal="center" vertical="top"/>
    </xf>
    <xf numFmtId="0" fontId="13" fillId="13" borderId="69" applyAlignment="1" pivotButton="0" quotePrefix="0" xfId="0">
      <alignment horizontal="center" vertical="top"/>
    </xf>
    <xf numFmtId="0" fontId="13" fillId="13" borderId="70" applyAlignment="1" pivotButton="0" quotePrefix="0" xfId="0">
      <alignment horizontal="center" vertical="top"/>
    </xf>
    <xf numFmtId="0" fontId="13" fillId="13" borderId="43" applyAlignment="1" pivotButton="0" quotePrefix="0" xfId="0">
      <alignment horizontal="center" vertical="center"/>
    </xf>
    <xf numFmtId="0" fontId="13" fillId="13" borderId="44" applyAlignment="1" pivotButton="0" quotePrefix="0" xfId="0">
      <alignment horizontal="center" vertical="center"/>
    </xf>
    <xf numFmtId="0" fontId="13" fillId="13" borderId="45" applyAlignment="1" pivotButton="0" quotePrefix="0" xfId="0">
      <alignment horizontal="center" vertical="center"/>
    </xf>
    <xf numFmtId="22" fontId="12" fillId="0" borderId="66" applyAlignment="1" pivotButton="0" quotePrefix="0" xfId="0">
      <alignment horizontal="center" vertical="center"/>
    </xf>
    <xf numFmtId="22" fontId="12" fillId="0" borderId="36" applyAlignment="1" pivotButton="0" quotePrefix="0" xfId="0">
      <alignment horizontal="center" vertical="center"/>
    </xf>
    <xf numFmtId="22" fontId="12" fillId="0" borderId="11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/>
    </xf>
    <xf numFmtId="0" fontId="13" fillId="13" borderId="51" applyAlignment="1" pivotButton="0" quotePrefix="0" xfId="0">
      <alignment horizontal="center" vertical="center"/>
    </xf>
    <xf numFmtId="0" fontId="13" fillId="13" borderId="52" applyAlignment="1" pivotButton="0" quotePrefix="0" xfId="0">
      <alignment horizontal="center" vertical="center"/>
    </xf>
    <xf numFmtId="0" fontId="13" fillId="13" borderId="55" applyAlignment="1" pivotButton="0" quotePrefix="0" xfId="0">
      <alignment horizontal="center" vertical="center"/>
    </xf>
    <xf numFmtId="0" fontId="13" fillId="13" borderId="61" applyAlignment="1" pivotButton="0" quotePrefix="0" xfId="0">
      <alignment horizontal="center" vertical="center"/>
    </xf>
    <xf numFmtId="0" fontId="13" fillId="13" borderId="6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12" fillId="0" borderId="64" applyAlignment="1" pivotButton="0" quotePrefix="0" xfId="0">
      <alignment horizontal="center" vertical="center"/>
    </xf>
    <xf numFmtId="0" fontId="13" fillId="13" borderId="53" applyAlignment="1" pivotButton="0" quotePrefix="0" xfId="0">
      <alignment horizontal="center" vertical="center"/>
    </xf>
    <xf numFmtId="0" fontId="13" fillId="13" borderId="54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84" pivotButton="0" quotePrefix="0" xfId="0"/>
    <xf numFmtId="0" fontId="0" fillId="0" borderId="82" pivotButton="0" quotePrefix="0" xfId="0"/>
    <xf numFmtId="0" fontId="0" fillId="0" borderId="81" pivotButton="0" quotePrefix="0" xfId="0"/>
    <xf numFmtId="0" fontId="0" fillId="0" borderId="70" pivotButton="0" quotePrefix="0" xfId="0"/>
    <xf numFmtId="0" fontId="0" fillId="0" borderId="69" pivotButton="0" quotePrefix="0" xfId="0"/>
    <xf numFmtId="0" fontId="0" fillId="0" borderId="83" pivotButton="0" quotePrefix="0" xfId="0"/>
    <xf numFmtId="0" fontId="0" fillId="0" borderId="52" pivotButton="0" quotePrefix="0" xfId="0"/>
    <xf numFmtId="0" fontId="0" fillId="0" borderId="85" pivotButton="0" quotePrefix="0" xfId="0"/>
    <xf numFmtId="0" fontId="0" fillId="0" borderId="57" pivotButton="0" quotePrefix="0" xfId="0"/>
    <xf numFmtId="0" fontId="0" fillId="0" borderId="86" pivotButton="0" quotePrefix="0" xfId="0"/>
    <xf numFmtId="0" fontId="13" fillId="13" borderId="87" applyAlignment="1" pivotButton="0" quotePrefix="0" xfId="0">
      <alignment horizontal="center" vertical="center"/>
    </xf>
    <xf numFmtId="0" fontId="0" fillId="0" borderId="62" pivotButton="0" quotePrefix="0" xfId="0"/>
    <xf numFmtId="0" fontId="12" fillId="0" borderId="88" applyAlignment="1" pivotButton="0" quotePrefix="0" xfId="0">
      <alignment horizontal="center" vertical="center"/>
    </xf>
    <xf numFmtId="0" fontId="0" fillId="0" borderId="64" pivotButton="0" quotePrefix="0" xfId="0"/>
    <xf numFmtId="0" fontId="13" fillId="13" borderId="1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4" pivotButton="0" quotePrefix="0" xfId="0"/>
    <xf numFmtId="22" fontId="12" fillId="0" borderId="39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1" pivotButton="0" quotePrefix="0" xfId="0"/>
    <xf numFmtId="0" fontId="0" fillId="0" borderId="79" pivotButton="0" quotePrefix="0" xfId="0"/>
    <xf numFmtId="0" fontId="0" fillId="0" borderId="76" pivotButton="0" quotePrefix="0" xfId="0"/>
    <xf numFmtId="0" fontId="0" fillId="0" borderId="89" pivotButton="0" quotePrefix="0" xfId="0"/>
    <xf numFmtId="0" fontId="0" fillId="0" borderId="5" pivotButton="0" quotePrefix="0" xfId="0"/>
    <xf numFmtId="0" fontId="0" fillId="0" borderId="71" pivotButton="0" quotePrefix="0" xfId="0"/>
    <xf numFmtId="0" fontId="13" fillId="13" borderId="90" applyAlignment="1" pivotButton="0" quotePrefix="0" xfId="0">
      <alignment horizontal="center" vertical="top"/>
    </xf>
    <xf numFmtId="0" fontId="0" fillId="0" borderId="73" pivotButton="0" quotePrefix="0" xfId="0"/>
    <xf numFmtId="0" fontId="13" fillId="13" borderId="9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2" fillId="0" borderId="90" applyAlignment="1" pivotButton="0" quotePrefix="0" xfId="0">
      <alignment horizontal="center" vertical="center" wrapText="1"/>
    </xf>
    <xf numFmtId="0" fontId="0" fillId="0" borderId="75" pivotButton="0" quotePrefix="0" xfId="0"/>
    <xf numFmtId="0" fontId="12" fillId="0" borderId="91" applyAlignment="1" pivotButton="0" quotePrefix="0" xfId="0">
      <alignment horizontal="center" vertical="center" wrapText="1"/>
    </xf>
    <xf numFmtId="0" fontId="0" fillId="0" borderId="77" pivotButton="0" quotePrefix="0" xfId="0"/>
    <xf numFmtId="0" fontId="0" fillId="0" borderId="66" pivotButton="0" quotePrefix="0" xfId="0"/>
    <xf numFmtId="0" fontId="13" fillId="13" borderId="90" applyAlignment="1" pivotButton="0" quotePrefix="0" xfId="0">
      <alignment horizontal="center" vertical="center" wrapText="1"/>
    </xf>
    <xf numFmtId="22" fontId="12" fillId="0" borderId="91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top"/>
    </xf>
    <xf numFmtId="0" fontId="13" fillId="13" borderId="87" applyAlignment="1" pivotButton="0" quotePrefix="0" xfId="0">
      <alignment horizontal="left" vertical="center"/>
    </xf>
    <xf numFmtId="0" fontId="12" fillId="0" borderId="87" applyAlignment="1" pivotButton="0" quotePrefix="0" xfId="0">
      <alignment vertical="center"/>
    </xf>
    <xf numFmtId="0" fontId="13" fillId="13" borderId="90" applyAlignment="1" pivotButton="0" quotePrefix="0" xfId="0">
      <alignment horizontal="left" vertical="center"/>
    </xf>
    <xf numFmtId="0" fontId="12" fillId="0" borderId="90" applyAlignment="1" pivotButton="0" quotePrefix="0" xfId="0">
      <alignment vertical="center"/>
    </xf>
    <xf numFmtId="0" fontId="12" fillId="0" borderId="90" pivotButton="0" quotePrefix="0" xfId="0"/>
    <xf numFmtId="0" fontId="13" fillId="13" borderId="88" applyAlignment="1" pivotButton="0" quotePrefix="0" xfId="0">
      <alignment horizontal="left" vertical="center"/>
    </xf>
    <xf numFmtId="0" fontId="12" fillId="0" borderId="88" pivotButton="0" quotePrefix="0" xfId="0"/>
    <xf numFmtId="0" fontId="12" fillId="0" borderId="91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46" applyAlignment="1" pivotButton="0" quotePrefix="0" xfId="0">
      <alignment horizontal="center"/>
    </xf>
    <xf numFmtId="0" fontId="1" fillId="13" borderId="46" applyAlignment="1" pivotButton="0" quotePrefix="0" xfId="0">
      <alignment horizontal="center"/>
    </xf>
    <xf numFmtId="0" fontId="1" fillId="15" borderId="46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jpeg" Id="rId3" /><Relationship Type="http://schemas.openxmlformats.org/officeDocument/2006/relationships/image" Target="/xl/media/image5.jpeg" Id="rId4" /><Relationship Type="http://schemas.openxmlformats.org/officeDocument/2006/relationships/image" Target="/xl/media/image6.jpeg" Id="rId5" /><Relationship Type="http://schemas.openxmlformats.org/officeDocument/2006/relationships/image" Target="/xl/media/image7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0</row>
      <rowOff>9525</rowOff>
    </from>
    <ext cx="2694305" cy="765810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1</row>
      <rowOff>0</rowOff>
    </from>
    <to>
      <col>4</col>
      <colOff>1021645</colOff>
      <row>1</row>
      <rowOff>520700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51556" y="691444"/>
          <a:ext cx="3251200" cy="5207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0</colOff>
      <row>1</row>
      <rowOff>0</rowOff>
    </from>
    <to>
      <col>8</col>
      <colOff>936978</colOff>
      <row>1</row>
      <rowOff>520700</rowOff>
    </to>
    <pic>
      <nvPicPr>
        <cNvPr id="3" name="Imagen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5475111" y="691444"/>
          <a:ext cx="2235200" cy="520700"/>
        </a:xfrm>
        <a:prstGeom prst="rect">
          <avLst/>
        </a:prstGeom>
        <a:ln>
          <a:prstDash val="solid"/>
        </a:ln>
      </spPr>
    </pic>
    <clientData/>
  </twoCellAnchor>
  <oneCellAnchor>
    <from>
      <col>2</col>
      <colOff>0</colOff>
      <row>99</row>
      <rowOff>0</rowOff>
    </from>
    <ext cx="4000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99</row>
      <rowOff>0</rowOff>
    </from>
    <ext cx="4000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125</row>
      <rowOff>0</rowOff>
    </from>
    <ext cx="4000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125</row>
      <rowOff>0</rowOff>
    </from>
    <ext cx="4000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77"/>
  <sheetViews>
    <sheetView workbookViewId="0">
      <selection activeCell="A1" sqref="A1"/>
    </sheetView>
  </sheetViews>
  <sheetFormatPr baseColWidth="10" defaultRowHeight="15"/>
  <sheetData>
    <row r="2">
      <c r="B2" s="3" t="inlineStr">
        <is>
          <t>CALENDARIO FIJO ROTATIVOS CMM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  <c r="N2" s="6" t="inlineStr">
        <is>
          <t>LOCALIDAD</t>
        </is>
      </c>
    </row>
    <row r="3">
      <c r="A3" s="7" t="n"/>
      <c r="B3" s="8" t="inlineStr">
        <is>
          <t>#SITIOS</t>
        </is>
      </c>
      <c r="C3" s="9" t="inlineStr">
        <is>
          <t>CUADRANTE</t>
        </is>
      </c>
      <c r="D3" s="10" t="inlineStr">
        <is>
          <t>SUP.CMM</t>
        </is>
      </c>
      <c r="E3" s="11" t="inlineStr">
        <is>
          <t>CONTACTO</t>
        </is>
      </c>
      <c r="F3" s="11" t="inlineStr">
        <is>
          <t>Inplan / Rotativo</t>
        </is>
      </c>
      <c r="G3" s="11" t="inlineStr">
        <is>
          <t>MUNICIPIOS</t>
        </is>
      </c>
      <c r="H3" s="11" t="inlineStr">
        <is>
          <t>Contacto</t>
        </is>
      </c>
      <c r="I3" s="11" t="inlineStr">
        <is>
          <t>LU</t>
        </is>
      </c>
      <c r="J3" s="11" t="inlineStr">
        <is>
          <t>MAR</t>
        </is>
      </c>
      <c r="K3" s="11" t="inlineStr">
        <is>
          <t>MIER</t>
        </is>
      </c>
      <c r="L3" s="11" t="inlineStr">
        <is>
          <t>JUE</t>
        </is>
      </c>
      <c r="M3" s="12" t="inlineStr">
        <is>
          <t>VIER</t>
        </is>
      </c>
      <c r="N3" s="13" t="n"/>
    </row>
    <row r="4">
      <c r="A4" s="7" t="n"/>
      <c r="B4" s="14" t="n">
        <v>1</v>
      </c>
      <c r="C4" s="15" t="inlineStr">
        <is>
          <t>Zona 1</t>
        </is>
      </c>
      <c r="D4" s="16" t="inlineStr">
        <is>
          <t>SUP-ZONA 1</t>
        </is>
      </c>
      <c r="E4" s="17" t="n"/>
      <c r="F4" s="18" t="inlineStr">
        <is>
          <t>Pedro Luis Montes De Oca Flores</t>
        </is>
      </c>
      <c r="G4" s="18" t="inlineStr">
        <is>
          <t>San Mateo Atenco</t>
        </is>
      </c>
      <c r="H4" s="18" t="n">
        <v>7228894032</v>
      </c>
      <c r="I4" s="19" t="n"/>
      <c r="J4" s="19" t="n"/>
      <c r="K4" s="18" t="n"/>
      <c r="L4" s="18" t="n"/>
      <c r="M4" s="20" t="n"/>
      <c r="N4" s="21" t="inlineStr">
        <is>
          <t>Metepec</t>
        </is>
      </c>
    </row>
    <row r="5">
      <c r="A5" s="7" t="n"/>
      <c r="B5" s="22" t="n">
        <v>2</v>
      </c>
      <c r="C5" s="23" t="inlineStr">
        <is>
          <t>Zona 1</t>
        </is>
      </c>
      <c r="D5" s="24" t="n"/>
      <c r="E5" s="25" t="n"/>
      <c r="F5" s="26" t="n"/>
      <c r="G5" s="26" t="inlineStr">
        <is>
          <t>Metepec</t>
        </is>
      </c>
      <c r="H5" s="26" t="n"/>
      <c r="I5" s="26" t="n"/>
      <c r="J5" s="26" t="n"/>
      <c r="K5" s="27" t="n"/>
      <c r="L5" s="27" t="n"/>
      <c r="M5" s="28" t="n"/>
      <c r="N5" s="29" t="inlineStr">
        <is>
          <t>Chapultepec</t>
        </is>
      </c>
    </row>
    <row r="6">
      <c r="A6" s="7" t="n"/>
      <c r="B6" s="22" t="n">
        <v>3</v>
      </c>
      <c r="C6" s="23" t="inlineStr">
        <is>
          <t>Zona 1</t>
        </is>
      </c>
      <c r="D6" s="24" t="n"/>
      <c r="E6" s="25" t="n"/>
      <c r="F6" s="26" t="n"/>
      <c r="G6" s="26" t="inlineStr">
        <is>
          <t>Zinacantepec</t>
        </is>
      </c>
      <c r="H6" s="26" t="n"/>
      <c r="I6" s="26" t="n"/>
      <c r="J6" s="26" t="n"/>
      <c r="K6" s="26" t="n"/>
      <c r="L6" s="26" t="n"/>
      <c r="M6" s="30" t="n"/>
      <c r="N6" s="29" t="inlineStr">
        <is>
          <t>Mexicaltzingo</t>
        </is>
      </c>
    </row>
    <row r="7">
      <c r="A7" s="7" t="n"/>
      <c r="B7" s="22" t="n">
        <v>4</v>
      </c>
      <c r="C7" s="23" t="inlineStr">
        <is>
          <t>Zona 1</t>
        </is>
      </c>
      <c r="D7" s="24" t="n"/>
      <c r="E7" s="25" t="n"/>
      <c r="F7" s="31" t="inlineStr">
        <is>
          <t>Pendiente</t>
        </is>
      </c>
      <c r="G7" s="26" t="inlineStr">
        <is>
          <t>Calimaya</t>
        </is>
      </c>
      <c r="H7" s="26" t="n"/>
      <c r="I7" s="26" t="n"/>
      <c r="J7" s="26" t="n"/>
      <c r="K7" s="26" t="n"/>
      <c r="L7" s="26" t="n"/>
      <c r="M7" s="28" t="n"/>
      <c r="N7" s="29" t="inlineStr">
        <is>
          <t>Ocoyoacac</t>
        </is>
      </c>
    </row>
    <row r="8" ht="28" customHeight="1">
      <c r="A8" s="7" t="n"/>
      <c r="B8" s="22" t="n">
        <v>5</v>
      </c>
      <c r="C8" s="23" t="inlineStr">
        <is>
          <t>Zona 1</t>
        </is>
      </c>
      <c r="D8" s="24" t="n"/>
      <c r="E8" s="25" t="n"/>
      <c r="F8" s="25" t="inlineStr">
        <is>
          <t xml:space="preserve">Eber Eljandro Arzate Piña </t>
        </is>
      </c>
      <c r="G8" s="26" t="inlineStr">
        <is>
          <t>San Antonio La Isla</t>
        </is>
      </c>
      <c r="H8" s="26" t="n">
        <v>7224531385</v>
      </c>
      <c r="I8" s="26" t="n"/>
      <c r="J8" s="26" t="n"/>
      <c r="K8" s="26" t="n"/>
      <c r="L8" s="26" t="n"/>
      <c r="M8" s="28" t="n"/>
      <c r="N8" s="29" t="inlineStr">
        <is>
          <t>San Mateo Atenco</t>
        </is>
      </c>
    </row>
    <row r="9">
      <c r="A9" s="7" t="n"/>
      <c r="B9" s="22" t="n">
        <v>6</v>
      </c>
      <c r="C9" s="23" t="inlineStr">
        <is>
          <t>Zona 1</t>
        </is>
      </c>
      <c r="D9" s="24" t="n"/>
      <c r="E9" s="25" t="n"/>
      <c r="F9" s="25" t="n"/>
      <c r="G9" s="26" t="inlineStr">
        <is>
          <t xml:space="preserve">Santiago Tianguistenco </t>
        </is>
      </c>
      <c r="H9" s="26" t="n"/>
      <c r="I9" s="27" t="n"/>
      <c r="J9" s="27" t="n"/>
      <c r="K9" s="26" t="n"/>
      <c r="L9" s="26" t="n"/>
      <c r="M9" s="30" t="n"/>
      <c r="N9" s="29" t="inlineStr">
        <is>
          <t xml:space="preserve">Santiago Tianguistenco </t>
        </is>
      </c>
    </row>
    <row r="10">
      <c r="A10" s="7" t="n"/>
      <c r="B10" s="22" t="n">
        <v>7</v>
      </c>
      <c r="C10" s="23" t="inlineStr">
        <is>
          <t>Zona 1</t>
        </is>
      </c>
      <c r="D10" s="24" t="n"/>
      <c r="E10" s="25" t="n"/>
      <c r="F10" s="25" t="n"/>
      <c r="G10" s="26" t="inlineStr">
        <is>
          <t>Ocoyoacac</t>
        </is>
      </c>
      <c r="H10" s="26" t="n"/>
      <c r="I10" s="26" t="n"/>
      <c r="J10" s="26" t="n"/>
      <c r="K10" s="27" t="n"/>
      <c r="L10" s="27" t="n"/>
      <c r="M10" s="28" t="n"/>
      <c r="N10" s="29" t="inlineStr">
        <is>
          <t>San Antonio La Isla</t>
        </is>
      </c>
    </row>
    <row r="11" ht="28" customHeight="1">
      <c r="A11" s="7" t="n"/>
      <c r="B11" s="22" t="n">
        <v>8</v>
      </c>
      <c r="C11" s="23" t="inlineStr">
        <is>
          <t>Zona 1</t>
        </is>
      </c>
      <c r="D11" s="24" t="n"/>
      <c r="E11" s="25" t="n"/>
      <c r="F11" s="25" t="inlineStr">
        <is>
          <t xml:space="preserve">Hugo Enrique Trujillo Valdin </t>
        </is>
      </c>
      <c r="G11" s="26" t="inlineStr">
        <is>
          <t>Santa Maria Rayon</t>
        </is>
      </c>
      <c r="H11" s="26" t="n">
        <v>7223955799</v>
      </c>
      <c r="I11" s="27" t="n"/>
      <c r="J11" s="27" t="n"/>
      <c r="K11" s="26" t="n"/>
      <c r="L11" s="26" t="n"/>
      <c r="M11" s="28" t="n"/>
      <c r="N11" s="29" t="inlineStr">
        <is>
          <t>Santa Maria Rayon</t>
        </is>
      </c>
    </row>
    <row r="12">
      <c r="A12" s="7" t="n"/>
      <c r="B12" s="22" t="n">
        <v>9</v>
      </c>
      <c r="C12" s="23" t="inlineStr">
        <is>
          <t>Zona 1</t>
        </is>
      </c>
      <c r="D12" s="24" t="n"/>
      <c r="E12" s="25" t="n"/>
      <c r="F12" s="25" t="n"/>
      <c r="G12" s="26" t="inlineStr">
        <is>
          <t>Mexicaltzingo</t>
        </is>
      </c>
      <c r="H12" s="26" t="n"/>
      <c r="I12" s="26" t="n"/>
      <c r="J12" s="26" t="n"/>
      <c r="K12" s="27" t="n"/>
      <c r="L12" s="27" t="n"/>
      <c r="M12" s="28" t="n"/>
      <c r="N12" s="29" t="inlineStr">
        <is>
          <t>22a/Zona Militar</t>
        </is>
      </c>
    </row>
    <row r="13">
      <c r="A13" s="7" t="n"/>
      <c r="B13" s="22" t="n">
        <v>10</v>
      </c>
      <c r="C13" s="23" t="inlineStr">
        <is>
          <t>Zona 1</t>
        </is>
      </c>
      <c r="D13" s="24" t="n"/>
      <c r="E13" s="25" t="n"/>
      <c r="F13" s="25" t="n"/>
      <c r="G13" s="26" t="inlineStr">
        <is>
          <t>Chapultepec</t>
        </is>
      </c>
      <c r="H13" s="26" t="n"/>
      <c r="I13" s="26" t="n"/>
      <c r="J13" s="26" t="n"/>
      <c r="K13" s="26" t="n"/>
      <c r="L13" s="26" t="n"/>
      <c r="M13" s="30" t="n"/>
      <c r="N13" s="29" t="inlineStr">
        <is>
          <t>Calimaya</t>
        </is>
      </c>
    </row>
    <row r="14">
      <c r="A14" s="7" t="n"/>
      <c r="B14" s="22" t="n">
        <v>11</v>
      </c>
      <c r="C14" s="23" t="inlineStr">
        <is>
          <t>Zona 1</t>
        </is>
      </c>
      <c r="D14" s="24" t="n"/>
      <c r="E14" s="25" t="n"/>
      <c r="F14" s="24" t="inlineStr">
        <is>
          <t>Pendiente</t>
        </is>
      </c>
      <c r="G14" s="26" t="inlineStr">
        <is>
          <t>22a/Zona Militar</t>
        </is>
      </c>
      <c r="H14" s="26" t="n"/>
      <c r="I14" s="26" t="n"/>
      <c r="J14" s="26" t="n"/>
      <c r="K14" s="26" t="n"/>
      <c r="L14" s="26" t="n"/>
      <c r="M14" s="28" t="n"/>
      <c r="N14" s="29" t="inlineStr">
        <is>
          <t>Tenancingo</t>
        </is>
      </c>
    </row>
    <row r="15">
      <c r="A15" s="7" t="n"/>
      <c r="B15" s="22" t="n">
        <v>12</v>
      </c>
      <c r="C15" s="23" t="inlineStr">
        <is>
          <t>Zona 1</t>
        </is>
      </c>
      <c r="D15" s="24" t="n"/>
      <c r="E15" s="25" t="n"/>
      <c r="F15" s="24" t="n"/>
      <c r="G15" s="26" t="inlineStr">
        <is>
          <t>Tejupilco</t>
        </is>
      </c>
      <c r="H15" s="26" t="n"/>
      <c r="I15" s="26" t="n"/>
      <c r="J15" s="26" t="n"/>
      <c r="K15" s="26" t="n"/>
      <c r="L15" s="26" t="n"/>
      <c r="M15" s="28" t="n"/>
      <c r="N15" s="29" t="inlineStr">
        <is>
          <t>Tejupilco</t>
        </is>
      </c>
    </row>
    <row r="16">
      <c r="A16" s="7" t="n"/>
      <c r="B16" s="22" t="n">
        <v>13</v>
      </c>
      <c r="C16" s="23" t="inlineStr">
        <is>
          <t>Zona 1</t>
        </is>
      </c>
      <c r="D16" s="24" t="n"/>
      <c r="E16" s="25" t="n"/>
      <c r="F16" s="24" t="inlineStr">
        <is>
          <t>Pendiente</t>
        </is>
      </c>
      <c r="G16" s="26" t="inlineStr">
        <is>
          <t>Malinalco</t>
        </is>
      </c>
      <c r="H16" s="26" t="n"/>
      <c r="I16" s="26" t="n"/>
      <c r="J16" s="26" t="n"/>
      <c r="K16" s="26" t="n"/>
      <c r="L16" s="26" t="n"/>
      <c r="M16" s="28" t="n"/>
      <c r="N16" s="29" t="inlineStr">
        <is>
          <t>Ixtapan De La Sal</t>
        </is>
      </c>
    </row>
    <row r="17">
      <c r="A17" s="7" t="n"/>
      <c r="B17" s="22" t="n">
        <v>14</v>
      </c>
      <c r="C17" s="23" t="inlineStr">
        <is>
          <t>Zona 1</t>
        </is>
      </c>
      <c r="D17" s="24" t="n"/>
      <c r="E17" s="25" t="n"/>
      <c r="F17" s="24" t="n"/>
      <c r="G17" s="26" t="inlineStr">
        <is>
          <t>Tenancingo</t>
        </is>
      </c>
      <c r="H17" s="26" t="n"/>
      <c r="I17" s="26" t="n"/>
      <c r="J17" s="26" t="n"/>
      <c r="K17" s="26" t="n"/>
      <c r="L17" s="26" t="n"/>
      <c r="M17" s="28" t="n"/>
      <c r="N17" s="29" t="inlineStr">
        <is>
          <t>Zupahuacán</t>
        </is>
      </c>
    </row>
    <row r="18">
      <c r="A18" s="7" t="n"/>
      <c r="B18" s="22" t="n">
        <v>15</v>
      </c>
      <c r="C18" s="23" t="inlineStr">
        <is>
          <t>Zona 1</t>
        </is>
      </c>
      <c r="D18" s="24" t="n"/>
      <c r="E18" s="25" t="n"/>
      <c r="F18" s="24" t="n"/>
      <c r="G18" s="26" t="inlineStr">
        <is>
          <t>Tenango Del Valle</t>
        </is>
      </c>
      <c r="H18" s="26" t="n"/>
      <c r="I18" s="26" t="n"/>
      <c r="J18" s="26" t="n"/>
      <c r="K18" s="26" t="n"/>
      <c r="L18" s="26" t="n"/>
      <c r="M18" s="28" t="n"/>
      <c r="N18" s="29" t="inlineStr">
        <is>
          <t>Tonatico</t>
        </is>
      </c>
    </row>
    <row r="19">
      <c r="A19" s="7" t="n"/>
      <c r="B19" s="22" t="n">
        <v>16</v>
      </c>
      <c r="C19" s="23" t="inlineStr">
        <is>
          <t>Zona 1</t>
        </is>
      </c>
      <c r="D19" s="24" t="n"/>
      <c r="E19" s="25" t="n"/>
      <c r="F19" s="24" t="inlineStr">
        <is>
          <t>Pendiente</t>
        </is>
      </c>
      <c r="G19" s="26" t="inlineStr">
        <is>
          <t>Ixtapan De La Sal</t>
        </is>
      </c>
      <c r="H19" s="26" t="n"/>
      <c r="I19" s="26" t="n"/>
      <c r="J19" s="26" t="n"/>
      <c r="K19" s="26" t="n"/>
      <c r="L19" s="26" t="n"/>
      <c r="M19" s="28" t="n"/>
      <c r="N19" s="29" t="n"/>
    </row>
    <row r="20">
      <c r="A20" s="7" t="n"/>
      <c r="B20" s="22" t="n">
        <v>17</v>
      </c>
      <c r="C20" s="23" t="inlineStr">
        <is>
          <t>Zona 1</t>
        </is>
      </c>
      <c r="D20" s="24" t="n"/>
      <c r="E20" s="25" t="n"/>
      <c r="F20" s="24" t="n"/>
      <c r="G20" s="26" t="inlineStr">
        <is>
          <t>Zupahuacán</t>
        </is>
      </c>
      <c r="H20" s="26" t="n"/>
      <c r="I20" s="26" t="n"/>
      <c r="J20" s="26" t="n"/>
      <c r="K20" s="26" t="n"/>
      <c r="L20" s="26" t="n"/>
      <c r="M20" s="28" t="n"/>
      <c r="N20" s="29" t="n"/>
    </row>
    <row r="21">
      <c r="A21" s="7" t="n"/>
      <c r="B21" s="22" t="n">
        <v>18</v>
      </c>
      <c r="C21" s="32" t="n"/>
      <c r="D21" s="33" t="n"/>
      <c r="E21" s="31" t="n"/>
      <c r="F21" s="33" t="n"/>
      <c r="G21" s="34" t="inlineStr">
        <is>
          <t>Almoloya de Juarez</t>
        </is>
      </c>
      <c r="H21" s="34" t="n"/>
      <c r="I21" s="34" t="n"/>
      <c r="J21" s="34" t="n"/>
      <c r="K21" s="34" t="n"/>
      <c r="L21" s="34" t="n"/>
      <c r="M21" s="35" t="n"/>
      <c r="N21" s="36" t="n"/>
    </row>
    <row r="22">
      <c r="A22" s="7" t="n"/>
      <c r="B22" s="22" t="n">
        <v>19</v>
      </c>
      <c r="C22" s="37" t="inlineStr">
        <is>
          <t>Zona 1</t>
        </is>
      </c>
      <c r="D22" s="38" t="n"/>
      <c r="E22" s="39" t="n"/>
      <c r="F22" s="38" t="n"/>
      <c r="G22" s="40" t="inlineStr">
        <is>
          <t>Tonatico</t>
        </is>
      </c>
      <c r="H22" s="40" t="n"/>
      <c r="I22" s="40" t="n"/>
      <c r="J22" s="40" t="n"/>
      <c r="K22" s="40" t="n"/>
      <c r="L22" s="40" t="n"/>
      <c r="M22" s="41" t="n"/>
      <c r="N22" s="42" t="n"/>
    </row>
    <row r="23" ht="42" customHeight="1">
      <c r="A23" s="7" t="n"/>
      <c r="B23" s="22" t="n">
        <v>20</v>
      </c>
      <c r="C23" s="43" t="inlineStr">
        <is>
          <t>Zona 2</t>
        </is>
      </c>
      <c r="D23" s="44" t="inlineStr">
        <is>
          <t xml:space="preserve">ELECTRICO: IRVIN PEREZ ZEPEDA: </t>
        </is>
      </c>
      <c r="E23" s="17" t="n"/>
      <c r="F23" s="17" t="inlineStr">
        <is>
          <t>Daniel Gomez De la Cruz</t>
        </is>
      </c>
      <c r="G23" s="18" t="inlineStr">
        <is>
          <t>Toluca</t>
        </is>
      </c>
      <c r="H23" s="18" t="n">
        <v>7201860524</v>
      </c>
      <c r="I23" s="18" t="n"/>
      <c r="J23" s="18" t="n"/>
      <c r="K23" s="18" t="n"/>
      <c r="L23" s="18" t="n"/>
      <c r="M23" s="20" t="n"/>
      <c r="N23" s="21" t="inlineStr">
        <is>
          <t>Toluca</t>
        </is>
      </c>
      <c r="T23" s="2" t="n"/>
    </row>
    <row r="24">
      <c r="A24" s="7" t="n"/>
      <c r="B24" s="22" t="n">
        <v>21</v>
      </c>
      <c r="C24" s="45" t="inlineStr">
        <is>
          <t>Zona 2</t>
        </is>
      </c>
      <c r="D24" s="46" t="n"/>
      <c r="E24" s="25" t="n"/>
      <c r="F24" s="25" t="n"/>
      <c r="G24" s="26" t="inlineStr">
        <is>
          <t>Temoaya</t>
        </is>
      </c>
      <c r="H24" s="26" t="n"/>
      <c r="I24" s="26" t="n"/>
      <c r="J24" s="26" t="n"/>
      <c r="K24" s="26" t="n"/>
      <c r="L24" s="26" t="n"/>
      <c r="M24" s="28" t="n"/>
      <c r="N24" s="29" t="inlineStr">
        <is>
          <t>Almoloya de Juárez</t>
        </is>
      </c>
      <c r="T24" s="2" t="n"/>
    </row>
    <row r="25">
      <c r="A25" s="7" t="n"/>
      <c r="B25" s="22" t="n">
        <v>22</v>
      </c>
      <c r="C25" s="45" t="inlineStr">
        <is>
          <t>Zona 2</t>
        </is>
      </c>
      <c r="D25" s="46" t="n"/>
      <c r="E25" s="25" t="n"/>
      <c r="F25" s="25" t="n"/>
      <c r="G25" s="26" t="inlineStr">
        <is>
          <t>Lerma</t>
        </is>
      </c>
      <c r="H25" s="26" t="n"/>
      <c r="I25" s="26" t="n"/>
      <c r="J25" s="26" t="n"/>
      <c r="K25" s="26" t="n"/>
      <c r="L25" s="26" t="n"/>
      <c r="M25" s="28" t="n"/>
      <c r="N25" s="29" t="inlineStr">
        <is>
          <t>Temoaya</t>
        </is>
      </c>
      <c r="T25" s="2" t="n"/>
    </row>
    <row r="26" ht="42" customHeight="1">
      <c r="A26" s="7" t="n"/>
      <c r="B26" s="22" t="n">
        <v>23</v>
      </c>
      <c r="C26" s="45" t="inlineStr">
        <is>
          <t>Zona 2</t>
        </is>
      </c>
      <c r="D26" s="46" t="n"/>
      <c r="E26" s="25" t="n"/>
      <c r="F26" s="25" t="inlineStr">
        <is>
          <t>Felipe Sanchez Casas</t>
        </is>
      </c>
      <c r="G26" s="26" t="inlineStr">
        <is>
          <t>Villa Victoria</t>
        </is>
      </c>
      <c r="H26" s="26" t="n">
        <v>5542903204</v>
      </c>
      <c r="I26" s="26" t="n"/>
      <c r="J26" s="26" t="n"/>
      <c r="K26" s="26" t="n"/>
      <c r="L26" s="26" t="n"/>
      <c r="M26" s="30" t="n"/>
      <c r="N26" s="29" t="inlineStr">
        <is>
          <t>Lerma</t>
        </is>
      </c>
      <c r="T26" s="2" t="n"/>
    </row>
    <row r="27">
      <c r="A27" s="7" t="n"/>
      <c r="B27" s="22" t="n">
        <v>24</v>
      </c>
      <c r="C27" s="45" t="inlineStr">
        <is>
          <t>Zona 2</t>
        </is>
      </c>
      <c r="D27" s="46" t="n"/>
      <c r="E27" s="25" t="n"/>
      <c r="F27" s="25" t="n"/>
      <c r="G27" s="26" t="inlineStr">
        <is>
          <t>Valle De Bravo</t>
        </is>
      </c>
      <c r="H27" s="26" t="n"/>
      <c r="I27" s="27" t="n"/>
      <c r="J27" s="27" t="n"/>
      <c r="K27" s="26" t="n"/>
      <c r="L27" s="26" t="n"/>
      <c r="M27" s="28" t="n"/>
      <c r="N27" s="29" t="inlineStr">
        <is>
          <t>Valle De Bravo</t>
        </is>
      </c>
      <c r="T27" s="2" t="n"/>
    </row>
    <row r="28">
      <c r="A28" s="7" t="n"/>
      <c r="B28" s="22" t="n">
        <v>25</v>
      </c>
      <c r="C28" s="45" t="inlineStr">
        <is>
          <t>Zona 2</t>
        </is>
      </c>
      <c r="D28" s="46" t="n"/>
      <c r="E28" s="25" t="n"/>
      <c r="F28" s="25" t="n"/>
      <c r="G28" s="26" t="inlineStr">
        <is>
          <t>Donato Guerra</t>
        </is>
      </c>
      <c r="H28" s="26" t="n"/>
      <c r="I28" s="26" t="n"/>
      <c r="J28" s="26" t="n"/>
      <c r="K28" s="27" t="n"/>
      <c r="L28" s="26" t="n"/>
      <c r="M28" s="28" t="n"/>
      <c r="N28" s="29" t="inlineStr">
        <is>
          <t>Donato Guerra</t>
        </is>
      </c>
      <c r="T28" s="2" t="n"/>
    </row>
    <row r="29">
      <c r="A29" s="7" t="n"/>
      <c r="B29" s="22" t="n">
        <v>26</v>
      </c>
      <c r="C29" s="45" t="inlineStr">
        <is>
          <t>Zona 2</t>
        </is>
      </c>
      <c r="D29" s="46" t="n"/>
      <c r="E29" s="25" t="n"/>
      <c r="F29" s="25" t="n"/>
      <c r="G29" s="26" t="inlineStr">
        <is>
          <t>Villa De Allende</t>
        </is>
      </c>
      <c r="H29" s="26" t="n"/>
      <c r="I29" s="26" t="n"/>
      <c r="J29" s="26" t="n"/>
      <c r="K29" s="26" t="n"/>
      <c r="L29" s="27" t="n"/>
      <c r="M29" s="28" t="n"/>
      <c r="N29" s="29" t="inlineStr">
        <is>
          <t>Villa De Allende</t>
        </is>
      </c>
      <c r="T29" s="2" t="n"/>
    </row>
    <row r="30">
      <c r="A30" s="7" t="n"/>
      <c r="B30" s="22" t="n">
        <v>27</v>
      </c>
      <c r="C30" s="45" t="inlineStr">
        <is>
          <t>Zona 2</t>
        </is>
      </c>
      <c r="D30" s="46" t="n"/>
      <c r="E30" s="25" t="n"/>
      <c r="F30" s="47" t="inlineStr">
        <is>
          <t>Pendiente</t>
        </is>
      </c>
      <c r="G30" s="26" t="inlineStr">
        <is>
          <t>Polotitlán</t>
        </is>
      </c>
      <c r="H30" s="26" t="n"/>
      <c r="I30" s="26" t="n"/>
      <c r="J30" s="26" t="n"/>
      <c r="K30" s="26" t="n"/>
      <c r="L30" s="26" t="n"/>
      <c r="M30" s="28" t="n"/>
      <c r="N30" s="29" t="inlineStr">
        <is>
          <t>Villa Victoria</t>
        </is>
      </c>
      <c r="T30" s="2" t="n"/>
    </row>
    <row r="31">
      <c r="A31" s="7" t="n"/>
      <c r="B31" s="22" t="n">
        <v>28</v>
      </c>
      <c r="C31" s="45" t="inlineStr">
        <is>
          <t>Zona 2</t>
        </is>
      </c>
      <c r="D31" s="46" t="n"/>
      <c r="E31" s="25" t="n"/>
      <c r="F31" s="48" t="n"/>
      <c r="G31" s="26" t="inlineStr">
        <is>
          <t>Aculco</t>
        </is>
      </c>
      <c r="H31" s="26" t="n"/>
      <c r="I31" s="26" t="n"/>
      <c r="J31" s="26" t="n"/>
      <c r="K31" s="26" t="n"/>
      <c r="L31" s="26" t="n"/>
      <c r="M31" s="28" t="n"/>
      <c r="N31" s="29" t="inlineStr">
        <is>
          <t>San José Del Rincón</t>
        </is>
      </c>
      <c r="T31" s="2" t="n"/>
    </row>
    <row r="32">
      <c r="A32" s="7" t="n"/>
      <c r="B32" s="22" t="n">
        <v>29</v>
      </c>
      <c r="C32" s="45" t="inlineStr">
        <is>
          <t>Zona 2</t>
        </is>
      </c>
      <c r="D32" s="46" t="n"/>
      <c r="E32" s="25" t="n"/>
      <c r="F32" s="49" t="n"/>
      <c r="G32" s="26" t="inlineStr">
        <is>
          <t>Jilotepec</t>
        </is>
      </c>
      <c r="H32" s="26" t="n"/>
      <c r="I32" s="26" t="n"/>
      <c r="J32" s="26" t="n"/>
      <c r="K32" s="26" t="n"/>
      <c r="L32" s="26" t="n"/>
      <c r="M32" s="28" t="n"/>
      <c r="N32" s="29" t="inlineStr">
        <is>
          <t>El Oro</t>
        </is>
      </c>
      <c r="T32" s="2" t="n"/>
    </row>
    <row r="33">
      <c r="A33" s="7" t="n"/>
      <c r="B33" s="22" t="n">
        <v>30</v>
      </c>
      <c r="C33" s="45" t="inlineStr">
        <is>
          <t>Zona 2</t>
        </is>
      </c>
      <c r="D33" s="46" t="n"/>
      <c r="E33" s="25" t="n"/>
      <c r="F33" s="47" t="inlineStr">
        <is>
          <t>Pendiente</t>
        </is>
      </c>
      <c r="G33" s="26" t="inlineStr">
        <is>
          <t>Jocotitlan</t>
        </is>
      </c>
      <c r="H33" s="26" t="n"/>
      <c r="I33" s="26" t="n"/>
      <c r="J33" s="26" t="n"/>
      <c r="K33" s="26" t="n"/>
      <c r="L33" s="26" t="n"/>
      <c r="M33" s="28" t="n"/>
      <c r="N33" s="29" t="inlineStr">
        <is>
          <t>Atlacomulco</t>
        </is>
      </c>
      <c r="T33" s="2" t="n"/>
    </row>
    <row r="34">
      <c r="A34" s="7" t="n"/>
      <c r="B34" s="22" t="n">
        <v>31</v>
      </c>
      <c r="C34" s="45" t="inlineStr">
        <is>
          <t>Zona 2</t>
        </is>
      </c>
      <c r="D34" s="46" t="n"/>
      <c r="E34" s="25" t="n"/>
      <c r="F34" s="48" t="n"/>
      <c r="G34" s="26" t="inlineStr">
        <is>
          <t>El Oro</t>
        </is>
      </c>
      <c r="H34" s="26" t="n"/>
      <c r="I34" s="26" t="n"/>
      <c r="J34" s="26" t="n"/>
      <c r="K34" s="26" t="n"/>
      <c r="L34" s="26" t="n"/>
      <c r="M34" s="28" t="n"/>
      <c r="N34" s="29" t="inlineStr">
        <is>
          <t>Jocotitlan</t>
        </is>
      </c>
      <c r="T34" s="2" t="n"/>
    </row>
    <row r="35">
      <c r="A35" s="7" t="n"/>
      <c r="B35" s="22" t="n">
        <v>32</v>
      </c>
      <c r="C35" s="45" t="inlineStr">
        <is>
          <t>Zona 2</t>
        </is>
      </c>
      <c r="D35" s="46" t="n"/>
      <c r="E35" s="25" t="n"/>
      <c r="F35" s="48" t="n"/>
      <c r="G35" s="26" t="inlineStr">
        <is>
          <t>San José Del Rincón</t>
        </is>
      </c>
      <c r="H35" s="26" t="n"/>
      <c r="I35" s="26" t="n"/>
      <c r="J35" s="26" t="n"/>
      <c r="K35" s="26" t="n"/>
      <c r="L35" s="26" t="n"/>
      <c r="M35" s="28" t="n"/>
      <c r="N35" s="29" t="inlineStr">
        <is>
          <t>Polotitlán</t>
        </is>
      </c>
      <c r="T35" s="2" t="n"/>
    </row>
    <row r="36">
      <c r="A36" s="7" t="n"/>
      <c r="B36" s="22" t="n">
        <v>33</v>
      </c>
      <c r="C36" s="50" t="inlineStr">
        <is>
          <t>Zona 2</t>
        </is>
      </c>
      <c r="D36" s="51" t="n"/>
      <c r="E36" s="39" t="n"/>
      <c r="F36" s="52" t="n"/>
      <c r="G36" s="40" t="inlineStr">
        <is>
          <t>Atlacomulco</t>
        </is>
      </c>
      <c r="H36" s="40" t="n"/>
      <c r="I36" s="40" t="n"/>
      <c r="J36" s="40" t="n"/>
      <c r="K36" s="40" t="n"/>
      <c r="L36" s="40" t="n"/>
      <c r="M36" s="41" t="n"/>
      <c r="N36" s="29" t="inlineStr">
        <is>
          <t>Jilotepec</t>
        </is>
      </c>
      <c r="T36" s="2" t="n"/>
    </row>
    <row r="37">
      <c r="A37" s="7" t="n"/>
      <c r="B37" s="22" t="n">
        <v>34</v>
      </c>
      <c r="C37" s="53" t="inlineStr">
        <is>
          <t>Zona 3</t>
        </is>
      </c>
      <c r="D37" s="54" t="n"/>
      <c r="E37" s="17" t="n"/>
      <c r="F37" s="55" t="inlineStr">
        <is>
          <t>Jorge Francisco Alvarez Delira</t>
        </is>
      </c>
      <c r="G37" s="56" t="inlineStr">
        <is>
          <t>Tlanepantla</t>
        </is>
      </c>
      <c r="H37" s="18" t="n">
        <v>5614327569</v>
      </c>
      <c r="I37" s="57" t="n"/>
      <c r="J37" s="57" t="n"/>
      <c r="K37" s="57" t="n"/>
      <c r="L37" s="57" t="n"/>
      <c r="M37" s="58" t="n"/>
      <c r="N37" s="21" t="inlineStr">
        <is>
          <t>Tlanepantla</t>
        </is>
      </c>
      <c r="T37" s="2" t="n"/>
    </row>
    <row r="38">
      <c r="A38" s="7" t="n"/>
      <c r="B38" s="22" t="n">
        <v>35</v>
      </c>
      <c r="C38" s="59" t="inlineStr">
        <is>
          <t>Zona 3</t>
        </is>
      </c>
      <c r="D38" s="60" t="n"/>
      <c r="E38" s="25" t="n"/>
      <c r="F38" s="26" t="inlineStr">
        <is>
          <t>Pendiente</t>
        </is>
      </c>
      <c r="G38" s="26" t="inlineStr">
        <is>
          <t>Huixquilucan</t>
        </is>
      </c>
      <c r="H38" s="26" t="n"/>
      <c r="I38" s="26" t="n"/>
      <c r="J38" s="26" t="n"/>
      <c r="K38" s="26" t="n"/>
      <c r="L38" s="26" t="n"/>
      <c r="M38" s="28" t="n"/>
      <c r="N38" s="29" t="n"/>
      <c r="T38" s="2" t="n"/>
    </row>
    <row r="39" ht="28" customHeight="1">
      <c r="A39" s="7" t="n"/>
      <c r="B39" s="22" t="n">
        <v>36</v>
      </c>
      <c r="C39" s="59" t="inlineStr">
        <is>
          <t>Zona 3</t>
        </is>
      </c>
      <c r="D39" s="60" t="n"/>
      <c r="E39" s="25" t="n"/>
      <c r="F39" s="25" t="inlineStr">
        <is>
          <t>Dilan Abbdiel Lopez Morales</t>
        </is>
      </c>
      <c r="G39" s="26" t="inlineStr">
        <is>
          <t>Jilotzingo</t>
        </is>
      </c>
      <c r="H39" s="26" t="n">
        <v>5612886167</v>
      </c>
      <c r="I39" s="27" t="n"/>
      <c r="J39" s="26" t="n"/>
      <c r="K39" s="26" t="n"/>
      <c r="L39" s="26" t="n"/>
      <c r="M39" s="28" t="n"/>
      <c r="N39" s="29" t="inlineStr">
        <is>
          <t>Huixquilucan</t>
        </is>
      </c>
      <c r="T39" s="2" t="n"/>
    </row>
    <row r="40">
      <c r="A40" s="7" t="n"/>
      <c r="B40" s="22" t="n">
        <v>37</v>
      </c>
      <c r="C40" s="59" t="inlineStr">
        <is>
          <t>Zona 3</t>
        </is>
      </c>
      <c r="D40" s="60" t="n"/>
      <c r="E40" s="25" t="n"/>
      <c r="F40" s="25" t="n"/>
      <c r="G40" s="26" t="inlineStr">
        <is>
          <t>Atizapán</t>
        </is>
      </c>
      <c r="H40" s="26" t="n"/>
      <c r="I40" s="26" t="n"/>
      <c r="J40" s="26" t="n"/>
      <c r="K40" s="26" t="n"/>
      <c r="L40" s="27" t="n"/>
      <c r="M40" s="30" t="n"/>
      <c r="N40" s="29" t="inlineStr">
        <is>
          <t>Atizapán</t>
        </is>
      </c>
      <c r="T40" s="2" t="n"/>
    </row>
    <row r="41">
      <c r="A41" s="7" t="n"/>
      <c r="B41" s="22" t="n">
        <v>38</v>
      </c>
      <c r="C41" s="59" t="inlineStr">
        <is>
          <t>Zona 3</t>
        </is>
      </c>
      <c r="D41" s="60" t="n"/>
      <c r="E41" s="25" t="n"/>
      <c r="F41" s="25" t="n"/>
      <c r="G41" s="26" t="inlineStr">
        <is>
          <t>Nicolás Romero</t>
        </is>
      </c>
      <c r="H41" s="26" t="n"/>
      <c r="I41" s="26" t="n"/>
      <c r="J41" s="27" t="n"/>
      <c r="K41" s="27" t="n"/>
      <c r="L41" s="26" t="n"/>
      <c r="M41" s="28" t="n"/>
      <c r="N41" s="29" t="inlineStr">
        <is>
          <t>Tultepec</t>
        </is>
      </c>
      <c r="T41" s="2" t="n"/>
    </row>
    <row r="42" ht="42" customHeight="1">
      <c r="A42" s="7" t="n"/>
      <c r="B42" s="22" t="n">
        <v>39</v>
      </c>
      <c r="C42" s="59" t="inlineStr">
        <is>
          <t>Zona 3</t>
        </is>
      </c>
      <c r="D42" s="60" t="inlineStr">
        <is>
          <t>SUP. MARIO IVAN ORNELAS RODRIGUEZ</t>
        </is>
      </c>
      <c r="E42" s="61" t="inlineStr">
        <is>
          <t>56 4793 8478</t>
        </is>
      </c>
      <c r="F42" s="26" t="inlineStr">
        <is>
          <t>Juan Carlos Alvarez Jacome</t>
        </is>
      </c>
      <c r="G42" s="62" t="inlineStr">
        <is>
          <t>Naucalpan</t>
        </is>
      </c>
      <c r="H42" s="26" t="n">
        <v>5637045489</v>
      </c>
      <c r="I42" s="63" t="n"/>
      <c r="J42" s="63" t="n"/>
      <c r="K42" s="63" t="n"/>
      <c r="L42" s="63" t="n"/>
      <c r="M42" s="64" t="n"/>
      <c r="N42" s="29" t="inlineStr">
        <is>
          <t>Jilotzingo</t>
        </is>
      </c>
      <c r="T42" s="2" t="n"/>
    </row>
    <row r="43" ht="84" customHeight="1">
      <c r="A43" s="7" t="n"/>
      <c r="B43" s="22" t="n">
        <v>40</v>
      </c>
      <c r="C43" s="59" t="inlineStr">
        <is>
          <t>Zona 3</t>
        </is>
      </c>
      <c r="D43" s="60" t="inlineStr">
        <is>
          <t>ELECTRICO/ AIRE ACONDICIONADO: IRVIN PEREZ ZEPEDA:</t>
        </is>
      </c>
      <c r="E43" s="61" t="n">
        <v>7296024078</v>
      </c>
      <c r="F43" s="26" t="inlineStr">
        <is>
          <t>Pendiente</t>
        </is>
      </c>
      <c r="G43" s="26" t="inlineStr">
        <is>
          <t>Isidro fabela</t>
        </is>
      </c>
      <c r="H43" s="26" t="n"/>
      <c r="I43" s="26" t="n"/>
      <c r="J43" s="26" t="n"/>
      <c r="K43" s="26" t="n"/>
      <c r="L43" s="26" t="n"/>
      <c r="M43" s="28" t="n"/>
      <c r="N43" s="29" t="inlineStr">
        <is>
          <t>Nicolás Romero</t>
        </is>
      </c>
      <c r="T43" s="2" t="n"/>
    </row>
    <row r="44">
      <c r="A44" s="7" t="n"/>
      <c r="B44" s="22" t="n">
        <v>41</v>
      </c>
      <c r="C44" s="59" t="inlineStr">
        <is>
          <t>Zona 3</t>
        </is>
      </c>
      <c r="D44" s="60" t="n"/>
      <c r="E44" s="25" t="n"/>
      <c r="F44" s="26" t="inlineStr">
        <is>
          <t>Juan David Andrez Silva</t>
        </is>
      </c>
      <c r="G44" s="62" t="inlineStr">
        <is>
          <t>Cuautitlán Izcalli</t>
        </is>
      </c>
      <c r="H44" s="26" t="n">
        <v>5545047902</v>
      </c>
      <c r="I44" s="63" t="n"/>
      <c r="J44" s="63" t="n"/>
      <c r="K44" s="63" t="n"/>
      <c r="L44" s="63" t="n"/>
      <c r="M44" s="64" t="n"/>
      <c r="N44" s="29" t="n"/>
      <c r="T44" s="2" t="n"/>
    </row>
    <row r="45">
      <c r="A45" s="7" t="n"/>
      <c r="B45" s="22" t="n">
        <v>42</v>
      </c>
      <c r="C45" s="59" t="inlineStr">
        <is>
          <t>Zona 3</t>
        </is>
      </c>
      <c r="D45" s="60" t="n"/>
      <c r="E45" s="25" t="n"/>
      <c r="F45" s="26" t="inlineStr">
        <is>
          <t>Luis Daniel Hernandez Contretas</t>
        </is>
      </c>
      <c r="G45" s="62" t="inlineStr">
        <is>
          <t>Cuautitlán México</t>
        </is>
      </c>
      <c r="H45" s="26" t="n">
        <v>5542968894</v>
      </c>
      <c r="I45" s="63" t="n"/>
      <c r="J45" s="63" t="n"/>
      <c r="K45" s="63" t="n"/>
      <c r="L45" s="63" t="n"/>
      <c r="M45" s="64" t="n"/>
      <c r="N45" s="29" t="n"/>
      <c r="T45" s="2" t="n"/>
    </row>
    <row r="46">
      <c r="A46" s="7" t="n"/>
      <c r="B46" s="22" t="n">
        <v>43</v>
      </c>
      <c r="C46" s="59" t="inlineStr">
        <is>
          <t>Zona 3</t>
        </is>
      </c>
      <c r="D46" s="60" t="n"/>
      <c r="E46" s="25" t="n"/>
      <c r="F46" s="26" t="inlineStr">
        <is>
          <t>Hugo Enrrique Mata Alejandro</t>
        </is>
      </c>
      <c r="G46" s="62" t="inlineStr">
        <is>
          <t>Tultitlan</t>
        </is>
      </c>
      <c r="H46" s="26" t="n"/>
      <c r="I46" s="63" t="n"/>
      <c r="J46" s="63" t="n"/>
      <c r="K46" s="63" t="n"/>
      <c r="L46" s="63" t="n"/>
      <c r="M46" s="64" t="n"/>
      <c r="N46" s="29" t="n"/>
      <c r="T46" s="2" t="n"/>
    </row>
    <row r="47">
      <c r="A47" s="7" t="n"/>
      <c r="B47" s="22" t="n">
        <v>44</v>
      </c>
      <c r="C47" s="59" t="inlineStr">
        <is>
          <t>Zona 3</t>
        </is>
      </c>
      <c r="D47" s="60" t="n"/>
      <c r="E47" s="25" t="n"/>
      <c r="F47" s="26" t="inlineStr">
        <is>
          <t>Jesus Miguel Soria Cano</t>
        </is>
      </c>
      <c r="G47" s="62" t="inlineStr">
        <is>
          <t>Coacalco</t>
        </is>
      </c>
      <c r="H47" s="26" t="n">
        <v>5567467616</v>
      </c>
      <c r="I47" s="63" t="n"/>
      <c r="J47" s="63" t="n"/>
      <c r="K47" s="63" t="n"/>
      <c r="L47" s="63" t="n"/>
      <c r="M47" s="64" t="n"/>
      <c r="N47" s="29" t="n"/>
      <c r="T47" s="2" t="n"/>
    </row>
    <row r="48" ht="28" customHeight="1">
      <c r="A48" s="7" t="n"/>
      <c r="B48" s="22" t="n">
        <v>45</v>
      </c>
      <c r="C48" s="59" t="inlineStr">
        <is>
          <t>Zona 3</t>
        </is>
      </c>
      <c r="D48" s="60" t="n"/>
      <c r="E48" s="25" t="n"/>
      <c r="F48" s="31" t="inlineStr">
        <is>
          <t>Kevin Gonzalez</t>
        </is>
      </c>
      <c r="G48" s="26" t="inlineStr">
        <is>
          <t>Teoloyucan</t>
        </is>
      </c>
      <c r="H48" s="34" t="n">
        <v>5538528828</v>
      </c>
      <c r="I48" s="27" t="n"/>
      <c r="J48" s="27" t="n"/>
      <c r="K48" s="26" t="n"/>
      <c r="L48" s="26" t="n"/>
      <c r="M48" s="28" t="n"/>
      <c r="N48" s="29" t="inlineStr">
        <is>
          <t>Isidro fabela</t>
        </is>
      </c>
    </row>
    <row r="49">
      <c r="A49" s="7" t="n"/>
      <c r="B49" s="22" t="n">
        <v>46</v>
      </c>
      <c r="C49" s="59" t="inlineStr">
        <is>
          <t>Zona 3</t>
        </is>
      </c>
      <c r="D49" s="60" t="n"/>
      <c r="E49" s="25" t="n"/>
      <c r="F49" s="65" t="n"/>
      <c r="G49" s="26" t="inlineStr">
        <is>
          <t>Huehuetoca</t>
        </is>
      </c>
      <c r="H49" s="66" t="n"/>
      <c r="I49" s="26" t="n"/>
      <c r="J49" s="26" t="n"/>
      <c r="K49" s="27" t="n"/>
      <c r="L49" s="27" t="n"/>
      <c r="M49" s="28" t="n"/>
      <c r="N49" s="29" t="inlineStr">
        <is>
          <t>Tepotzotlán</t>
        </is>
      </c>
    </row>
    <row r="50">
      <c r="A50" s="7" t="n"/>
      <c r="B50" s="22" t="n">
        <v>47</v>
      </c>
      <c r="C50" s="59" t="inlineStr">
        <is>
          <t>Zona 3</t>
        </is>
      </c>
      <c r="D50" s="60" t="n"/>
      <c r="E50" s="25" t="n"/>
      <c r="F50" s="67" t="n"/>
      <c r="G50" s="26" t="inlineStr">
        <is>
          <t>Zumpango</t>
        </is>
      </c>
      <c r="H50" s="68" t="n"/>
      <c r="I50" s="26" t="n"/>
      <c r="J50" s="26" t="n"/>
      <c r="K50" s="26" t="n"/>
      <c r="L50" s="26" t="n"/>
      <c r="M50" s="30" t="n"/>
      <c r="N50" s="69" t="inlineStr">
        <is>
          <t>Teoloyucan</t>
        </is>
      </c>
      <c r="P50" s="1" t="n"/>
      <c r="Q50" s="1" t="n"/>
      <c r="R50" s="1" t="n"/>
      <c r="S50" s="1" t="n"/>
      <c r="T50" s="1" t="n"/>
      <c r="U50" s="1" t="n"/>
      <c r="V50" s="1" t="n"/>
      <c r="W50" s="1" t="n"/>
    </row>
    <row r="51">
      <c r="A51" s="7" t="n"/>
      <c r="B51" s="22" t="n">
        <v>48</v>
      </c>
      <c r="C51" s="59" t="inlineStr">
        <is>
          <t>Zona 3</t>
        </is>
      </c>
      <c r="D51" s="60" t="n"/>
      <c r="E51" s="25" t="n"/>
      <c r="F51" s="34" t="inlineStr">
        <is>
          <t>Jose Angel Rocandio Guerrero</t>
        </is>
      </c>
      <c r="G51" s="26" t="inlineStr">
        <is>
          <t>Tepotzotlán</t>
        </is>
      </c>
      <c r="H51" s="34" t="n">
        <v>5577373670</v>
      </c>
      <c r="I51" s="27" t="n"/>
      <c r="J51" s="27" t="n"/>
      <c r="K51" s="26" t="n"/>
      <c r="L51" s="26" t="n"/>
      <c r="M51" s="28" t="n"/>
      <c r="N51" s="69" t="inlineStr">
        <is>
          <t>Huehuetoca</t>
        </is>
      </c>
      <c r="T51" s="2" t="n"/>
    </row>
    <row r="52">
      <c r="A52" s="7" t="n"/>
      <c r="B52" s="22" t="n">
        <v>49</v>
      </c>
      <c r="C52" s="59" t="inlineStr">
        <is>
          <t>Zona 3</t>
        </is>
      </c>
      <c r="D52" s="60" t="n"/>
      <c r="E52" s="25" t="n"/>
      <c r="F52" s="66" t="n"/>
      <c r="G52" s="26" t="inlineStr">
        <is>
          <t>Tultepec</t>
        </is>
      </c>
      <c r="H52" s="66" t="n"/>
      <c r="I52" s="26" t="n"/>
      <c r="J52" s="26" t="n"/>
      <c r="K52" s="27" t="n"/>
      <c r="L52" s="27" t="n"/>
      <c r="M52" s="28" t="n"/>
      <c r="N52" s="29" t="inlineStr">
        <is>
          <t>Zumpango</t>
        </is>
      </c>
      <c r="T52" s="2" t="n"/>
    </row>
    <row r="53">
      <c r="A53" s="7" t="n"/>
      <c r="B53" s="22" t="n">
        <v>50</v>
      </c>
      <c r="C53" s="59" t="inlineStr">
        <is>
          <t>Zona 3</t>
        </is>
      </c>
      <c r="D53" s="60" t="n"/>
      <c r="E53" s="25" t="n"/>
      <c r="F53" s="68" t="n"/>
      <c r="G53" s="26" t="inlineStr">
        <is>
          <t>Tecámac</t>
        </is>
      </c>
      <c r="H53" s="68" t="n"/>
      <c r="I53" s="26" t="n"/>
      <c r="J53" s="26" t="n"/>
      <c r="K53" s="26" t="n"/>
      <c r="L53" s="26" t="n"/>
      <c r="M53" s="30" t="n"/>
      <c r="N53" s="29" t="inlineStr">
        <is>
          <t>Tecámac</t>
        </is>
      </c>
      <c r="T53" s="2" t="n"/>
    </row>
    <row r="54">
      <c r="A54" s="7" t="n"/>
      <c r="B54" s="22" t="n">
        <v>51</v>
      </c>
      <c r="C54" s="70" t="inlineStr">
        <is>
          <t>Zona 3</t>
        </is>
      </c>
      <c r="D54" s="71" t="n"/>
      <c r="E54" s="39" t="n"/>
      <c r="F54" s="72" t="inlineStr">
        <is>
          <t>Jorge Diego Martinez Alavarez</t>
        </is>
      </c>
      <c r="G54" s="73" t="inlineStr">
        <is>
          <t>Ecatepec de morelos</t>
        </is>
      </c>
      <c r="H54" s="40" t="n">
        <v>2219292087</v>
      </c>
      <c r="I54" s="74" t="n"/>
      <c r="J54" s="74" t="n"/>
      <c r="K54" s="74" t="n"/>
      <c r="L54" s="74" t="n"/>
      <c r="M54" s="75" t="n"/>
      <c r="N54" s="36" t="n"/>
      <c r="T54" s="2" t="n"/>
    </row>
    <row r="55">
      <c r="A55" s="7" t="n"/>
      <c r="B55" s="22" t="n">
        <v>52</v>
      </c>
      <c r="C55" s="76" t="inlineStr">
        <is>
          <t>Zona 4</t>
        </is>
      </c>
      <c r="D55" s="77" t="n"/>
      <c r="E55" s="67" t="n"/>
      <c r="F55" s="1" t="inlineStr">
        <is>
          <t>Ubaldo Castillo Almaguer</t>
        </is>
      </c>
      <c r="G55" s="78" t="inlineStr">
        <is>
          <t>Texcoco</t>
        </is>
      </c>
      <c r="H55" s="68" t="n">
        <v>5529303355</v>
      </c>
      <c r="I55" s="79" t="n"/>
      <c r="J55" s="79" t="n"/>
      <c r="K55" s="79" t="n"/>
      <c r="L55" s="79" t="n"/>
      <c r="M55" s="80" t="n"/>
      <c r="N55" s="21" t="inlineStr">
        <is>
          <t>Texcoco</t>
        </is>
      </c>
      <c r="T55" s="2" t="n"/>
    </row>
    <row r="56">
      <c r="A56" s="7" t="n"/>
      <c r="B56" s="22" t="n">
        <v>53</v>
      </c>
      <c r="C56" s="81" t="inlineStr">
        <is>
          <t>Zona 4</t>
        </is>
      </c>
      <c r="D56" s="82" t="n"/>
      <c r="E56" s="25" t="n"/>
      <c r="F56" s="34" t="inlineStr">
        <is>
          <t>Andres Ramirez Salas</t>
        </is>
      </c>
      <c r="G56" s="26" t="inlineStr">
        <is>
          <t>Atenco</t>
        </is>
      </c>
      <c r="H56" s="34" t="inlineStr">
        <is>
          <t>55 1232 3456</t>
        </is>
      </c>
      <c r="I56" s="26" t="n"/>
      <c r="J56" s="26" t="n"/>
      <c r="K56" s="26" t="n"/>
      <c r="L56" s="26" t="n"/>
      <c r="M56" s="30" t="n"/>
      <c r="N56" s="29" t="inlineStr">
        <is>
          <t>Atenco</t>
        </is>
      </c>
      <c r="T56" s="2" t="n"/>
    </row>
    <row r="57">
      <c r="A57" s="7" t="n"/>
      <c r="B57" s="22" t="n">
        <v>54</v>
      </c>
      <c r="C57" s="81" t="inlineStr">
        <is>
          <t>Zona 4</t>
        </is>
      </c>
      <c r="D57" s="82" t="n"/>
      <c r="E57" s="25" t="n"/>
      <c r="F57" s="66" t="n"/>
      <c r="G57" s="26" t="inlineStr">
        <is>
          <t>Chinconcuac</t>
        </is>
      </c>
      <c r="H57" s="66" t="n"/>
      <c r="I57" s="26" t="n"/>
      <c r="J57" s="26" t="n"/>
      <c r="K57" s="27" t="n"/>
      <c r="L57" s="27" t="n"/>
      <c r="M57" s="28" t="n"/>
      <c r="N57" s="29" t="inlineStr">
        <is>
          <t>Chinconcuac</t>
        </is>
      </c>
      <c r="T57" s="2" t="n"/>
    </row>
    <row r="58">
      <c r="A58" s="7" t="n"/>
      <c r="B58" s="22" t="n">
        <v>55</v>
      </c>
      <c r="C58" s="81" t="inlineStr">
        <is>
          <t>Zona 4</t>
        </is>
      </c>
      <c r="D58" s="82" t="n"/>
      <c r="E58" s="25" t="n"/>
      <c r="F58" s="68" t="n"/>
      <c r="G58" s="26" t="inlineStr">
        <is>
          <t>Acolman</t>
        </is>
      </c>
      <c r="H58" s="68" t="n"/>
      <c r="I58" s="27" t="n"/>
      <c r="J58" s="27" t="n"/>
      <c r="K58" s="26" t="n"/>
      <c r="L58" s="26" t="n"/>
      <c r="M58" s="28" t="n"/>
      <c r="N58" s="29" t="n"/>
      <c r="T58" s="2" t="n"/>
    </row>
    <row r="59">
      <c r="A59" s="7" t="n"/>
      <c r="B59" s="22" t="n">
        <v>56</v>
      </c>
      <c r="C59" s="81" t="inlineStr">
        <is>
          <t>Zona 4</t>
        </is>
      </c>
      <c r="D59" s="82" t="n"/>
      <c r="E59" s="25" t="n"/>
      <c r="F59" s="83" t="inlineStr">
        <is>
          <t>Pendiente</t>
        </is>
      </c>
      <c r="G59" s="26" t="inlineStr">
        <is>
          <t>Tepetlaoxtoc</t>
        </is>
      </c>
      <c r="H59" s="26" t="n"/>
      <c r="I59" s="26" t="n"/>
      <c r="J59" s="26" t="n"/>
      <c r="K59" s="26" t="n"/>
      <c r="L59" s="26" t="n"/>
      <c r="M59" s="28" t="n"/>
      <c r="N59" s="29" t="inlineStr">
        <is>
          <t>Tepetlaoxtoc</t>
        </is>
      </c>
      <c r="T59" s="2" t="n"/>
    </row>
    <row r="60" ht="42" customHeight="1">
      <c r="A60" s="7" t="n"/>
      <c r="B60" s="22" t="n">
        <v>57</v>
      </c>
      <c r="C60" s="81" t="inlineStr">
        <is>
          <t>Zona 4</t>
        </is>
      </c>
      <c r="D60" s="82" t="n"/>
      <c r="E60" s="25" t="n"/>
      <c r="F60" s="25" t="inlineStr">
        <is>
          <t>Oscar Jair Sanchez Moreno</t>
        </is>
      </c>
      <c r="G60" s="26" t="inlineStr">
        <is>
          <t xml:space="preserve">San Martin de las Pirámides  </t>
        </is>
      </c>
      <c r="H60" s="26" t="n">
        <v>5529729779</v>
      </c>
      <c r="I60" s="27" t="n"/>
      <c r="J60" s="27" t="n"/>
      <c r="K60" s="26" t="n"/>
      <c r="L60" s="26" t="n"/>
      <c r="M60" s="28" t="n"/>
      <c r="N60" s="29" t="inlineStr">
        <is>
          <t xml:space="preserve">San Martin de las Pirámides  </t>
        </is>
      </c>
      <c r="T60" s="2" t="n"/>
    </row>
    <row r="61" ht="56" customHeight="1">
      <c r="A61" s="7" t="n"/>
      <c r="B61" s="22" t="n">
        <v>58</v>
      </c>
      <c r="C61" s="81" t="inlineStr">
        <is>
          <t>Zona 4</t>
        </is>
      </c>
      <c r="D61" s="84" t="inlineStr">
        <is>
          <t xml:space="preserve">SUPERVIOR :   JOSUE OMAR DE LEON MAYEN </t>
        </is>
      </c>
      <c r="E61" s="61" t="n">
        <v>5541012625</v>
      </c>
      <c r="F61" s="25" t="n"/>
      <c r="G61" s="26" t="inlineStr">
        <is>
          <t>Otumba</t>
        </is>
      </c>
      <c r="H61" s="26" t="n"/>
      <c r="I61" s="26" t="n"/>
      <c r="J61" s="26" t="n"/>
      <c r="K61" s="27" t="n"/>
      <c r="L61" s="27" t="n"/>
      <c r="M61" s="28" t="n"/>
      <c r="N61" s="29" t="inlineStr">
        <is>
          <t>Otumba</t>
        </is>
      </c>
      <c r="T61" s="2" t="n"/>
    </row>
    <row r="62">
      <c r="A62" s="7" t="n"/>
      <c r="B62" s="22" t="n">
        <v>59</v>
      </c>
      <c r="C62" s="81" t="inlineStr">
        <is>
          <t>Zona 4</t>
        </is>
      </c>
      <c r="D62" s="82" t="n"/>
      <c r="E62" s="25" t="n"/>
      <c r="F62" s="25" t="n"/>
      <c r="G62" s="26" t="inlineStr">
        <is>
          <t>Teotihuacán</t>
        </is>
      </c>
      <c r="H62" s="26" t="n"/>
      <c r="I62" s="26" t="n"/>
      <c r="J62" s="26" t="n"/>
      <c r="K62" s="26" t="n"/>
      <c r="L62" s="26" t="n"/>
      <c r="M62" s="30" t="n"/>
      <c r="N62" s="29" t="inlineStr">
        <is>
          <t>Teotihuacán</t>
        </is>
      </c>
      <c r="T62" s="2" t="n"/>
    </row>
    <row r="63">
      <c r="A63" s="7" t="n"/>
      <c r="B63" s="22" t="n">
        <v>60</v>
      </c>
      <c r="C63" s="81" t="inlineStr">
        <is>
          <t>Zona 4</t>
        </is>
      </c>
      <c r="D63" s="82" t="n"/>
      <c r="E63" s="25" t="n"/>
      <c r="F63" s="26" t="inlineStr">
        <is>
          <t>Marco A Bustos De la O</t>
        </is>
      </c>
      <c r="G63" s="62" t="inlineStr">
        <is>
          <t>Chalco</t>
        </is>
      </c>
      <c r="H63" s="26" t="n"/>
      <c r="I63" s="85" t="n"/>
      <c r="J63" s="85" t="n"/>
      <c r="K63" s="85" t="n"/>
      <c r="L63" s="85" t="n"/>
      <c r="M63" s="86" t="n"/>
      <c r="N63" s="29" t="n"/>
    </row>
    <row r="64">
      <c r="A64" s="7" t="n"/>
      <c r="B64" s="22" t="n">
        <v>61</v>
      </c>
      <c r="C64" s="81" t="inlineStr">
        <is>
          <t>Zona 4</t>
        </is>
      </c>
      <c r="D64" s="82" t="n"/>
      <c r="E64" s="25" t="n"/>
      <c r="F64" s="26" t="inlineStr">
        <is>
          <t>Ricardo Cruz Bautizta</t>
        </is>
      </c>
      <c r="G64" s="62" t="inlineStr">
        <is>
          <t>Chimalhuacan</t>
        </is>
      </c>
      <c r="H64" s="26" t="n">
        <v>5625440645</v>
      </c>
      <c r="I64" s="63" t="n"/>
      <c r="J64" s="63" t="n"/>
      <c r="K64" s="63" t="n"/>
      <c r="L64" s="63" t="n"/>
      <c r="M64" s="64" t="n"/>
      <c r="N64" s="29" t="n"/>
      <c r="T64" s="2" t="n"/>
    </row>
    <row r="65">
      <c r="A65" s="7" t="n"/>
      <c r="B65" s="22" t="n">
        <v>62</v>
      </c>
      <c r="C65" s="81" t="inlineStr">
        <is>
          <t>Zona 4</t>
        </is>
      </c>
      <c r="D65" s="82" t="n"/>
      <c r="E65" s="25" t="n"/>
      <c r="F65" s="26" t="inlineStr">
        <is>
          <t>Luis Emmanuel Morales Albarran</t>
        </is>
      </c>
      <c r="G65" s="62" t="inlineStr">
        <is>
          <t>Nezahualcóyotl</t>
        </is>
      </c>
      <c r="H65" s="26" t="n">
        <v>5538819652</v>
      </c>
      <c r="I65" s="63" t="n"/>
      <c r="J65" s="63" t="n"/>
      <c r="K65" s="63" t="n"/>
      <c r="L65" s="63" t="n"/>
      <c r="M65" s="64" t="n"/>
      <c r="N65" s="29" t="n"/>
      <c r="T65" s="2" t="n"/>
    </row>
    <row r="66">
      <c r="A66" s="7" t="n"/>
      <c r="B66" s="22" t="n">
        <v>63</v>
      </c>
      <c r="C66" s="81" t="inlineStr">
        <is>
          <t>Zona 4</t>
        </is>
      </c>
      <c r="D66" s="82" t="n"/>
      <c r="E66" s="25" t="n"/>
      <c r="F66" s="26" t="inlineStr">
        <is>
          <t xml:space="preserve">Yovani Zarate Nava </t>
        </is>
      </c>
      <c r="G66" s="62" t="inlineStr">
        <is>
          <t>Chicoloapan</t>
        </is>
      </c>
      <c r="H66" s="26" t="n">
        <v>5549044577</v>
      </c>
      <c r="I66" s="63" t="n"/>
      <c r="J66" s="63" t="n"/>
      <c r="K66" s="63" t="n"/>
      <c r="L66" s="63" t="n"/>
      <c r="M66" s="64" t="n"/>
      <c r="N66" s="29" t="n"/>
      <c r="T66" s="2" t="n"/>
    </row>
    <row r="67">
      <c r="A67" s="7" t="n"/>
      <c r="B67" s="22" t="n">
        <v>64</v>
      </c>
      <c r="C67" s="81" t="inlineStr">
        <is>
          <t>Zona 4</t>
        </is>
      </c>
      <c r="D67" s="82" t="n"/>
      <c r="E67" s="25" t="n"/>
      <c r="F67" s="87" t="inlineStr">
        <is>
          <t>Jose A Cruz Jimenez</t>
        </is>
      </c>
      <c r="G67" s="87" t="inlineStr">
        <is>
          <t>Ixtapaluca</t>
        </is>
      </c>
      <c r="H67" s="87" t="n">
        <v>5546897737</v>
      </c>
      <c r="I67" s="85" t="n"/>
      <c r="J67" s="85" t="n"/>
      <c r="K67" s="85" t="n"/>
      <c r="L67" s="85" t="n"/>
      <c r="M67" s="86" t="n"/>
      <c r="N67" s="29" t="n"/>
      <c r="T67" s="2" t="n"/>
    </row>
    <row r="68">
      <c r="A68" s="7" t="n"/>
      <c r="B68" s="22" t="n">
        <v>65</v>
      </c>
      <c r="C68" s="81" t="inlineStr">
        <is>
          <t>Zona 4</t>
        </is>
      </c>
      <c r="D68" s="82" t="n"/>
      <c r="E68" s="25" t="n"/>
      <c r="F68" s="26" t="inlineStr">
        <is>
          <t>Rafael Ortiz Castañeda</t>
        </is>
      </c>
      <c r="G68" s="62" t="inlineStr">
        <is>
          <t>La Paz</t>
        </is>
      </c>
      <c r="H68" s="26" t="n">
        <v>2331527468</v>
      </c>
      <c r="I68" s="63" t="n"/>
      <c r="J68" s="63" t="n"/>
      <c r="K68" s="63" t="n"/>
      <c r="L68" s="63" t="n"/>
      <c r="M68" s="64" t="n"/>
      <c r="N68" s="29" t="n"/>
      <c r="T68" s="2" t="n"/>
    </row>
    <row r="69">
      <c r="A69" s="7" t="n"/>
      <c r="B69" s="22" t="n">
        <v>66</v>
      </c>
      <c r="C69" s="81" t="inlineStr">
        <is>
          <t>Zona 4</t>
        </is>
      </c>
      <c r="D69" s="82" t="n"/>
      <c r="E69" s="25" t="n"/>
      <c r="F69" s="26" t="inlineStr">
        <is>
          <t>Alejandro Andrade Lara</t>
        </is>
      </c>
      <c r="G69" s="62" t="inlineStr">
        <is>
          <t>Valle de Chalco</t>
        </is>
      </c>
      <c r="H69" s="26" t="n">
        <v>5560100507</v>
      </c>
      <c r="I69" s="85" t="n"/>
      <c r="J69" s="85" t="n"/>
      <c r="K69" s="85" t="n"/>
      <c r="L69" s="85" t="n"/>
      <c r="M69" s="86" t="n"/>
      <c r="N69" s="29" t="n"/>
      <c r="T69" s="2" t="n"/>
    </row>
    <row r="70">
      <c r="A70" s="7" t="n"/>
      <c r="B70" s="22" t="n">
        <v>67</v>
      </c>
      <c r="C70" s="81" t="inlineStr">
        <is>
          <t>Zona 4</t>
        </is>
      </c>
      <c r="D70" s="82" t="n"/>
      <c r="E70" s="25" t="n"/>
      <c r="F70" s="87" t="n"/>
      <c r="G70" s="87" t="inlineStr">
        <is>
          <t>Tlalmanalco</t>
        </is>
      </c>
      <c r="H70" s="87" t="n"/>
      <c r="I70" s="26" t="n"/>
      <c r="J70" s="26" t="n"/>
      <c r="K70" s="26" t="n"/>
      <c r="L70" s="26" t="n"/>
      <c r="M70" s="28" t="n"/>
      <c r="N70" s="29" t="inlineStr">
        <is>
          <t>Tlalmanalco</t>
        </is>
      </c>
      <c r="T70" s="2" t="n"/>
    </row>
    <row r="71">
      <c r="A71" s="2" t="n"/>
      <c r="B71" s="88" t="n">
        <v>68</v>
      </c>
      <c r="C71" s="89" t="inlineStr">
        <is>
          <t>Zona 4</t>
        </is>
      </c>
      <c r="D71" s="90" t="n"/>
      <c r="E71" s="39" t="n"/>
      <c r="F71" s="91" t="n"/>
      <c r="G71" s="91" t="inlineStr">
        <is>
          <t>Amecameca</t>
        </is>
      </c>
      <c r="H71" s="91" t="n"/>
      <c r="I71" s="40" t="n"/>
      <c r="J71" s="40" t="n"/>
      <c r="K71" s="40" t="n"/>
      <c r="L71" s="40" t="n"/>
      <c r="M71" s="41" t="n"/>
      <c r="N71" s="42" t="inlineStr">
        <is>
          <t>Amecameca</t>
        </is>
      </c>
      <c r="T71" s="2" t="n"/>
    </row>
    <row r="73">
      <c r="C73" s="92" t="n"/>
      <c r="D73" s="93" t="inlineStr">
        <is>
          <t>Total CMM</t>
        </is>
      </c>
      <c r="E73" s="94" t="n"/>
      <c r="F73" s="93" t="inlineStr">
        <is>
          <t xml:space="preserve"> Multitarea</t>
        </is>
      </c>
      <c r="G73" s="93" t="inlineStr">
        <is>
          <t xml:space="preserve">Cubierto </t>
        </is>
      </c>
      <c r="H73" s="93" t="n"/>
      <c r="I73" s="95" t="inlineStr">
        <is>
          <t>Pendiente</t>
        </is>
      </c>
    </row>
    <row r="74">
      <c r="C74" s="96" t="inlineStr">
        <is>
          <t>CMM</t>
        </is>
      </c>
      <c r="D74" s="97" t="n">
        <v>68</v>
      </c>
      <c r="E74" s="97" t="n"/>
      <c r="F74" s="97" t="n">
        <v>33</v>
      </c>
      <c r="G74" s="97" t="n">
        <v>22</v>
      </c>
      <c r="H74" s="97" t="n"/>
      <c r="I74" s="98">
        <f>COUNTIFS(F4:F71,I73)</f>
        <v/>
      </c>
    </row>
    <row r="76">
      <c r="D76" s="1" t="inlineStr">
        <is>
          <t>Se requiere un electrico y aire acondicionado para el Sup Omar de Leon</t>
        </is>
      </c>
    </row>
    <row r="77">
      <c r="D77" s="1" t="inlineStr">
        <is>
          <t>Se requiere un electrico y aire acondicionado para el Sup Mario Ivan Ornelas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zoomScaleNormal="100" workbookViewId="0">
      <selection activeCell="D25" sqref="D25"/>
    </sheetView>
  </sheetViews>
  <sheetFormatPr baseColWidth="10" defaultColWidth="11.5" defaultRowHeight="12.75" customHeight="1"/>
  <cols>
    <col width="3.33203125" customWidth="1" style="99" min="1" max="1"/>
    <col width="11.5" customWidth="1" style="99" min="2" max="2"/>
    <col width="8.6640625" customWidth="1" style="99" min="3" max="3"/>
    <col width="3.1640625" customWidth="1" style="99" min="4" max="4"/>
    <col width="3.83203125" customWidth="1" style="99" min="5" max="5"/>
    <col width="11.5" customWidth="1" style="99" min="6" max="6"/>
    <col width="3" customWidth="1" style="99" min="7" max="7"/>
    <col width="10.33203125" customWidth="1" style="99" min="8" max="8"/>
    <col width="3" customWidth="1" style="99" min="9" max="9"/>
    <col width="5.6640625" customWidth="1" style="99" min="10" max="10"/>
    <col width="7.5" customWidth="1" style="99" min="11" max="11"/>
    <col width="14" customWidth="1" style="99" min="12" max="12"/>
    <col width="11.5" customWidth="1" style="99" min="13" max="13"/>
    <col width="11.5" customWidth="1" style="99" min="14" max="16384"/>
  </cols>
  <sheetData>
    <row r="1" ht="12.75" customHeight="1">
      <c r="J1" s="137" t="inlineStr">
        <is>
          <t xml:space="preserve"> GRUPO DESARROLLADOR CASEOLI S.A. de C.V.
RFC: GDC121130184
Bosque de los Ciruelos 168, Piso 2
Bosque de las Lomas, Miguel Hidalgo, 11700
Ciudad de México, CDMX
Tel: +52 55 3031 8380
Correo: admin@caseoli.com.mx
Sitio web: www.caseoli.com.mx</t>
        </is>
      </c>
    </row>
    <row r="2" ht="12.75" customHeight="1"/>
    <row r="3" ht="13" customHeight="1"/>
    <row r="4" ht="13" customHeight="1"/>
    <row r="5" ht="13" customHeight="1"/>
    <row r="6" ht="13" customHeight="1"/>
    <row r="7" ht="12.75" customHeight="1">
      <c r="A7" s="138" t="inlineStr">
        <is>
          <t>SERVICIO INTEGRAL DE MANTENIMIENTO, OPERACIÓN Y FORTALECIMIENTO TECNOLÓGICO PARA EL PROGRAMA DE
SEGURIDAD Y MONITOREO EN EL ESTADO DE MÉXICO</t>
        </is>
      </c>
    </row>
    <row r="8" ht="13" customHeight="1"/>
    <row r="9" ht="13" customHeight="1"/>
    <row r="10" ht="6" customHeight="1">
      <c r="A10" s="138" t="n"/>
      <c r="B10" s="138" t="n"/>
      <c r="C10" s="138" t="n"/>
      <c r="D10" s="138" t="n"/>
      <c r="E10" s="138" t="n"/>
      <c r="F10" s="138" t="n"/>
      <c r="G10" s="138" t="n"/>
      <c r="H10" s="138" t="n"/>
      <c r="I10" s="138" t="n"/>
      <c r="J10" s="138" t="n"/>
      <c r="K10" s="138" t="n"/>
      <c r="L10" s="138" t="n"/>
    </row>
    <row r="11" ht="13" customHeight="1">
      <c r="A11" s="139" t="inlineStr">
        <is>
          <t>MANTENIMIENTO CORRECTIVO</t>
        </is>
      </c>
    </row>
    <row r="12" ht="6" customHeight="1"/>
    <row r="13" ht="13" customHeight="1">
      <c r="A13" s="126" t="inlineStr">
        <is>
          <t>INFORMACIÓN GENERAL</t>
        </is>
      </c>
      <c r="B13" s="296" t="n"/>
      <c r="C13" s="296" t="n"/>
      <c r="D13" s="296" t="n"/>
      <c r="E13" s="296" t="n"/>
      <c r="F13" s="296" t="n"/>
      <c r="G13" s="296" t="n"/>
      <c r="H13" s="296" t="n"/>
      <c r="I13" s="296" t="n"/>
      <c r="J13" s="296" t="n"/>
      <c r="K13" s="296" t="n"/>
      <c r="L13" s="297" t="n"/>
    </row>
    <row r="14" ht="13" customHeight="1">
      <c r="A14" s="126" t="inlineStr">
        <is>
          <t>MUNICIPIO</t>
        </is>
      </c>
      <c r="B14" s="296" t="n"/>
      <c r="C14" s="297" t="n"/>
      <c r="D14" s="126" t="n"/>
      <c r="E14" s="121" t="n"/>
      <c r="F14" s="296" t="n"/>
      <c r="G14" s="297" t="n"/>
      <c r="H14" s="126" t="inlineStr">
        <is>
          <t>AFILIACION</t>
        </is>
      </c>
      <c r="I14" s="297" t="n"/>
      <c r="J14" s="121" t="n"/>
      <c r="K14" s="296" t="n"/>
      <c r="L14" s="297" t="n"/>
    </row>
    <row r="15" ht="42" customHeight="1">
      <c r="A15" s="136" t="inlineStr">
        <is>
          <t>FECHA Y HORA DE SOLICITUD</t>
        </is>
      </c>
      <c r="B15" s="297" t="n"/>
      <c r="C15" s="121" t="n"/>
      <c r="D15" s="296" t="n"/>
      <c r="E15" s="297" t="n"/>
      <c r="F15" s="136" t="inlineStr">
        <is>
          <t>FECHA Y HORA DE ATENCION</t>
        </is>
      </c>
      <c r="G15" s="297" t="n"/>
      <c r="H15" s="121" t="n"/>
      <c r="I15" s="297" t="n"/>
      <c r="J15" s="136" t="inlineStr">
        <is>
          <t>FECHA Y HORA DE CIERRE</t>
        </is>
      </c>
      <c r="K15" s="297" t="n"/>
      <c r="L15" s="131" t="n"/>
    </row>
    <row r="16" ht="13" customHeight="1">
      <c r="A16" s="124" t="inlineStr">
        <is>
          <t>TECNOLOGIA</t>
        </is>
      </c>
      <c r="B16" s="298" t="n"/>
      <c r="C16" s="298" t="n"/>
      <c r="D16" s="298" t="n"/>
      <c r="E16" s="298" t="n"/>
      <c r="F16" s="298" t="n"/>
      <c r="G16" s="298" t="n"/>
      <c r="H16" s="298" t="n"/>
      <c r="I16" s="298" t="n"/>
      <c r="J16" s="298" t="n"/>
      <c r="K16" s="298" t="n"/>
      <c r="L16" s="298" t="n"/>
    </row>
    <row r="17" ht="13" customHeight="1">
      <c r="A17" s="121" t="inlineStr">
        <is>
          <t>Punto de monitoreo inteligente</t>
        </is>
      </c>
      <c r="B17" s="296" t="n"/>
      <c r="C17" s="296" t="n"/>
      <c r="D17" s="296" t="n"/>
      <c r="E17" s="296" t="n"/>
      <c r="F17" s="296" t="n"/>
      <c r="G17" s="296" t="n"/>
      <c r="H17" s="296" t="n"/>
      <c r="I17" s="296" t="n"/>
      <c r="J17" s="296" t="n"/>
      <c r="K17" s="296" t="n"/>
      <c r="L17" s="297" t="n"/>
    </row>
    <row r="18" ht="13" customHeight="1">
      <c r="A18" s="124" t="inlineStr">
        <is>
          <t>ATENCION BRINDADA</t>
        </is>
      </c>
      <c r="B18" s="298" t="n"/>
      <c r="C18" s="298" t="n"/>
      <c r="D18" s="298" t="n"/>
      <c r="E18" s="298" t="n"/>
      <c r="F18" s="298" t="n"/>
      <c r="G18" s="298" t="n"/>
      <c r="H18" s="298" t="n"/>
      <c r="I18" s="298" t="n"/>
      <c r="J18" s="298" t="n"/>
      <c r="K18" s="298" t="n"/>
      <c r="L18" s="298" t="n"/>
    </row>
    <row r="19" ht="6" customHeight="1">
      <c r="A19" s="133" t="n"/>
    </row>
    <row r="20" ht="13" customHeight="1">
      <c r="A20" s="131" t="n"/>
      <c r="B20" s="131" t="inlineStr">
        <is>
          <t>Ajustes de parámetros</t>
        </is>
      </c>
      <c r="C20" s="297" t="n"/>
      <c r="E20" s="131" t="n"/>
      <c r="F20" s="131" t="inlineStr">
        <is>
          <t>Reparación de equipo</t>
        </is>
      </c>
      <c r="G20" s="296" t="n"/>
      <c r="H20" s="297" t="n"/>
      <c r="J20" s="131" t="n"/>
      <c r="K20" s="131" t="inlineStr">
        <is>
          <t>Reubicación</t>
        </is>
      </c>
      <c r="L20" s="297" t="n"/>
    </row>
    <row r="21" ht="13" customHeight="1">
      <c r="A21" s="131" t="n"/>
      <c r="B21" s="131" t="inlineStr">
        <is>
          <t>Cambio de equipo</t>
        </is>
      </c>
      <c r="C21" s="297" t="n"/>
      <c r="E21" s="131" t="n"/>
      <c r="F21" s="131" t="inlineStr">
        <is>
          <t>Siniestro</t>
        </is>
      </c>
      <c r="G21" s="296" t="n"/>
      <c r="H21" s="297" t="n"/>
      <c r="J21" s="131" t="n"/>
      <c r="K21" s="131" t="inlineStr">
        <is>
          <t>Otros</t>
        </is>
      </c>
      <c r="L21" s="297" t="n"/>
    </row>
    <row r="22" ht="7.5" customHeight="1"/>
    <row r="23" ht="7.5" customHeight="1"/>
    <row r="24" ht="13" customHeight="1">
      <c r="A24" s="126" t="inlineStr">
        <is>
          <t>TICKET</t>
        </is>
      </c>
      <c r="B24" s="296" t="n"/>
      <c r="C24" s="297" t="n"/>
      <c r="D24" s="103" t="inlineStr">
        <is>
          <t>DESCRIPCIÓN DE FALLA O INCIDENCIA</t>
        </is>
      </c>
      <c r="E24" s="103" t="n"/>
      <c r="F24" s="103" t="n"/>
      <c r="G24" s="103" t="n"/>
      <c r="H24" s="103" t="n"/>
      <c r="I24" s="103" t="n"/>
      <c r="J24" s="126" t="inlineStr">
        <is>
          <t>SOLUCIÓN</t>
        </is>
      </c>
      <c r="K24" s="296" t="n"/>
      <c r="L24" s="297" t="n"/>
    </row>
    <row r="25" ht="102.75" customHeight="1">
      <c r="A25" s="130">
        <f>Hoja1!J19</f>
        <v/>
      </c>
      <c r="B25" s="296" t="n"/>
      <c r="C25" s="297" t="n"/>
      <c r="D25" s="131" t="n"/>
      <c r="E25" s="296" t="n"/>
      <c r="F25" s="296" t="n"/>
      <c r="G25" s="296" t="n"/>
      <c r="H25" s="296" t="n"/>
      <c r="I25" s="297" t="n"/>
      <c r="J25" s="131" t="n"/>
      <c r="K25" s="296" t="n"/>
      <c r="L25" s="297" t="n"/>
    </row>
    <row r="26" ht="13" customHeight="1">
      <c r="A26" s="126" t="inlineStr">
        <is>
          <t>OBSERVACIONES:</t>
        </is>
      </c>
      <c r="B26" s="296" t="n"/>
      <c r="C26" s="296" t="n"/>
      <c r="D26" s="296" t="n"/>
      <c r="E26" s="297" t="n"/>
      <c r="F26" s="132" t="n"/>
      <c r="G26" s="296" t="n"/>
      <c r="H26" s="296" t="n"/>
      <c r="I26" s="296" t="n"/>
      <c r="J26" s="296" t="n"/>
      <c r="K26" s="296" t="n"/>
      <c r="L26" s="297" t="n"/>
    </row>
    <row r="27" ht="151.5" customHeight="1">
      <c r="A27" s="124" t="inlineStr">
        <is>
          <t>REPORTE FOTOGRÁFICO</t>
        </is>
      </c>
      <c r="B27" s="298" t="n"/>
      <c r="C27" s="298" t="n"/>
      <c r="D27" s="298" t="n"/>
      <c r="E27" s="298" t="n"/>
      <c r="F27" s="298" t="n"/>
      <c r="G27" s="298" t="n"/>
      <c r="H27" s="298" t="n"/>
      <c r="I27" s="298" t="n"/>
      <c r="J27" s="298" t="n"/>
      <c r="K27" s="298" t="n"/>
      <c r="L27" s="298" t="n"/>
    </row>
    <row r="28" ht="40.5" customHeight="1">
      <c r="A28" s="125" t="inlineStr">
        <is>
          <t>Se firma la presente orden de servicio a efecto de validar el cumplimiento de los servicios solicitados, haciendo constar que los equipos o sistemas reportados funcionan correctamente y se reciben a entera satisfacción de la empresa Grupo Desarrollador Caseoli, S.A. de C.V.</t>
        </is>
      </c>
    </row>
    <row r="29" ht="8.25" customHeight="1"/>
    <row r="30" ht="13" customHeight="1">
      <c r="A30" s="126" t="inlineStr">
        <is>
          <t>GRUPO DESARROLLADOR CASEOLI</t>
        </is>
      </c>
      <c r="B30" s="296" t="n"/>
      <c r="C30" s="296" t="n"/>
      <c r="D30" s="296" t="n"/>
      <c r="E30" s="296" t="n"/>
      <c r="F30" s="297" t="n"/>
      <c r="G30" s="104" t="n"/>
      <c r="H30" s="126" t="inlineStr">
        <is>
          <t>VALIDACIÓN ÁREA REQUIRENTE</t>
        </is>
      </c>
      <c r="I30" s="296" t="n"/>
      <c r="J30" s="296" t="n"/>
      <c r="K30" s="296" t="n"/>
      <c r="L30" s="297" t="n"/>
    </row>
    <row r="31" ht="13" customHeight="1">
      <c r="A31" s="121" t="n"/>
      <c r="B31" s="298" t="n"/>
      <c r="C31" s="298" t="n"/>
      <c r="D31" s="298" t="n"/>
      <c r="E31" s="298" t="n"/>
      <c r="F31" s="299" t="n"/>
      <c r="H31" s="121" t="n"/>
      <c r="I31" s="298" t="n"/>
      <c r="J31" s="298" t="n"/>
      <c r="K31" s="298" t="n"/>
      <c r="L31" s="299" t="n"/>
    </row>
    <row r="32" ht="13" customHeight="1">
      <c r="A32" s="300" t="n"/>
      <c r="F32" s="301" t="n"/>
      <c r="H32" s="300" t="n"/>
      <c r="L32" s="301" t="n"/>
    </row>
    <row r="33" ht="13" customHeight="1">
      <c r="A33" s="300" t="n"/>
      <c r="F33" s="301" t="n"/>
      <c r="H33" s="300" t="n"/>
      <c r="L33" s="301" t="n"/>
    </row>
    <row r="34" ht="13" customHeight="1">
      <c r="A34" s="302" t="n"/>
      <c r="B34" s="303" t="n"/>
      <c r="C34" s="303" t="n"/>
      <c r="D34" s="303" t="n"/>
      <c r="E34" s="303" t="n"/>
      <c r="F34" s="304" t="n"/>
      <c r="H34" s="302" t="n"/>
      <c r="I34" s="303" t="n"/>
      <c r="J34" s="303" t="n"/>
      <c r="K34" s="303" t="n"/>
      <c r="L34" s="304" t="n"/>
    </row>
    <row r="35" ht="13" customHeight="1">
      <c r="A35" s="120" t="inlineStr">
        <is>
          <t>Ing. Fernando Ramírez Campos Coordinador Operativo</t>
        </is>
      </c>
      <c r="B35" s="296" t="n"/>
      <c r="C35" s="296" t="n"/>
      <c r="D35" s="296" t="n"/>
      <c r="E35" s="296" t="n"/>
      <c r="F35" s="297" t="n"/>
      <c r="H35" s="121" t="inlineStr">
        <is>
          <t>Aaron Ayala Carrillo Coordinador General</t>
        </is>
      </c>
      <c r="I35" s="296" t="n"/>
      <c r="J35" s="296" t="n"/>
      <c r="K35" s="296" t="n"/>
      <c r="L35" s="297" t="n"/>
    </row>
    <row r="36" ht="13" customHeight="1">
      <c r="A36" s="122" t="inlineStr">
        <is>
          <t>Este documento es confidencial y esta dirigido exclusivamente a su destinatario. Su reproducción, distribución o uso no autorizado esta prohibido sin consentimiento expreso</t>
        </is>
      </c>
    </row>
    <row r="37" ht="13" customHeight="1">
      <c r="A37" s="123" t="inlineStr">
        <is>
          <t>de GRUPO DESAROLLADOR CASEOLI S.A DE C.V</t>
        </is>
      </c>
    </row>
  </sheetData>
  <mergeCells count="40">
    <mergeCell ref="F20:H20"/>
    <mergeCell ref="A25:C25"/>
    <mergeCell ref="A16:L16"/>
    <mergeCell ref="J24:L24"/>
    <mergeCell ref="H30:L30"/>
    <mergeCell ref="A15:B15"/>
    <mergeCell ref="H35:L35"/>
    <mergeCell ref="A37:L37"/>
    <mergeCell ref="A18:L18"/>
    <mergeCell ref="A27:L27"/>
    <mergeCell ref="A31:F34"/>
    <mergeCell ref="A7:L9"/>
    <mergeCell ref="K21:L21"/>
    <mergeCell ref="J25:L25"/>
    <mergeCell ref="B21:C21"/>
    <mergeCell ref="K20:L20"/>
    <mergeCell ref="F15:G15"/>
    <mergeCell ref="A14:C14"/>
    <mergeCell ref="J15:K15"/>
    <mergeCell ref="A17:L17"/>
    <mergeCell ref="A35:F35"/>
    <mergeCell ref="D25:I25"/>
    <mergeCell ref="J1:L6"/>
    <mergeCell ref="A26:E26"/>
    <mergeCell ref="A19:L19"/>
    <mergeCell ref="A28:L28"/>
    <mergeCell ref="A13:L13"/>
    <mergeCell ref="A30:F30"/>
    <mergeCell ref="C15:E15"/>
    <mergeCell ref="A24:C24"/>
    <mergeCell ref="J14:L14"/>
    <mergeCell ref="E14:G14"/>
    <mergeCell ref="F26:L26"/>
    <mergeCell ref="A11:L11"/>
    <mergeCell ref="B20:C20"/>
    <mergeCell ref="H15:I15"/>
    <mergeCell ref="A36:L36"/>
    <mergeCell ref="H31:L34"/>
    <mergeCell ref="H14:I14"/>
    <mergeCell ref="F21:H21"/>
  </mergeCells>
  <pageMargins left="0.7" right="0.7" top="0.75" bottom="0.75" header="0.3" footer="0.3"/>
  <pageSetup orientation="portrait" paperSize="9" useFirstPageNumber="1" horizontalDpi="4294967295" verticalDpi="429496729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50"/>
  <sheetViews>
    <sheetView showGridLines="0" tabSelected="1" zoomScale="100" zoomScaleNormal="90" workbookViewId="0">
      <selection activeCell="C2" sqref="C2:F2"/>
    </sheetView>
  </sheetViews>
  <sheetFormatPr baseColWidth="10" defaultColWidth="11.5" defaultRowHeight="15.75" customHeight="1"/>
  <cols>
    <col width="3.33203125" customWidth="1" style="105" min="1" max="1"/>
    <col width="2.5" customWidth="1" style="106" min="2" max="2"/>
    <col width="14.6640625" customWidth="1" style="106" min="3" max="6"/>
    <col width="7.33203125" customWidth="1" style="106" min="7" max="7"/>
    <col width="17" customWidth="1" style="106" min="8" max="8"/>
    <col width="14.6640625" customWidth="1" style="106" min="9" max="11"/>
    <col width="2.83203125" customWidth="1" style="106" min="12" max="12"/>
    <col width="11.5" customWidth="1" style="106" min="13" max="13"/>
    <col width="11.5" customWidth="1" style="105" min="14" max="14"/>
    <col width="11.5" customWidth="1" style="105" min="15" max="16384"/>
  </cols>
  <sheetData>
    <row r="1" ht="54" customHeight="1"/>
    <row r="2" ht="67" customHeight="1">
      <c r="C2" s="140" t="n"/>
      <c r="H2" s="140" t="n"/>
    </row>
    <row r="3" ht="16" customHeight="1">
      <c r="C3" s="286" t="n"/>
      <c r="L3" s="286" t="n"/>
      <c r="M3" s="286" t="n"/>
      <c r="N3" s="108" t="n"/>
    </row>
    <row r="4" ht="6.75" customHeight="1">
      <c r="C4" s="286" t="n"/>
      <c r="D4" s="286" t="n"/>
      <c r="E4" s="286" t="n"/>
      <c r="F4" s="286" t="n"/>
      <c r="G4" s="286" t="n"/>
      <c r="H4" s="286" t="n"/>
      <c r="I4" s="286" t="n"/>
      <c r="J4" s="286" t="n"/>
      <c r="K4" s="286" t="n"/>
      <c r="L4" s="286" t="n"/>
      <c r="M4" s="286" t="n"/>
      <c r="N4" s="108" t="n"/>
    </row>
    <row r="5" ht="6.75" customHeight="1">
      <c r="C5" s="286" t="n"/>
      <c r="D5" s="286" t="n"/>
      <c r="E5" s="286" t="n"/>
      <c r="F5" s="286" t="n"/>
      <c r="G5" s="286" t="n"/>
      <c r="H5" s="286" t="n"/>
      <c r="I5" s="286" t="n"/>
      <c r="J5" s="286" t="n"/>
      <c r="K5" s="286" t="n"/>
      <c r="L5" s="286" t="n"/>
      <c r="M5" s="286" t="n"/>
      <c r="N5" s="108" t="n"/>
    </row>
    <row r="6" ht="6.75" customHeight="1">
      <c r="C6" s="286" t="n"/>
      <c r="D6" s="286" t="n"/>
      <c r="E6" s="286" t="n"/>
      <c r="F6" s="286" t="n"/>
      <c r="G6" s="286" t="n"/>
      <c r="H6" s="286" t="n"/>
      <c r="I6" s="286" t="n"/>
      <c r="J6" s="286" t="n"/>
      <c r="K6" s="286" t="n"/>
      <c r="L6" s="286" t="n"/>
      <c r="M6" s="286" t="n"/>
      <c r="N6" s="108" t="n"/>
    </row>
    <row r="7" ht="6.75" customHeight="1">
      <c r="C7" s="286" t="n"/>
      <c r="D7" s="286" t="n"/>
      <c r="E7" s="286" t="n"/>
      <c r="F7" s="286" t="n"/>
      <c r="G7" s="286" t="n"/>
      <c r="H7" s="286" t="n"/>
      <c r="I7" s="286" t="n"/>
      <c r="J7" s="286" t="n"/>
      <c r="K7" s="286" t="n"/>
      <c r="L7" s="286" t="n"/>
      <c r="M7" s="286" t="n"/>
      <c r="N7" s="108" t="n"/>
    </row>
    <row r="8" ht="6.75" customHeight="1">
      <c r="C8" s="286" t="n"/>
      <c r="D8" s="286" t="n"/>
      <c r="E8" s="286" t="n"/>
      <c r="F8" s="286" t="n"/>
      <c r="G8" s="286" t="n"/>
      <c r="H8" s="286" t="n"/>
      <c r="I8" s="286" t="n"/>
      <c r="J8" s="286" t="n"/>
      <c r="K8" s="286" t="n"/>
      <c r="L8" s="286" t="n"/>
      <c r="M8" s="286" t="n"/>
      <c r="N8" s="108" t="n"/>
    </row>
    <row r="9" ht="6.75" customHeight="1">
      <c r="C9" s="286" t="n"/>
      <c r="D9" s="286" t="n"/>
      <c r="E9" s="286" t="n"/>
      <c r="F9" s="286" t="n"/>
      <c r="G9" s="286" t="n"/>
      <c r="H9" s="286" t="n"/>
      <c r="I9" s="286" t="n"/>
      <c r="J9" s="286" t="n"/>
      <c r="K9" s="286" t="n"/>
      <c r="L9" s="286" t="n"/>
      <c r="M9" s="286" t="n"/>
      <c r="N9" s="108" t="n"/>
    </row>
    <row r="10" ht="6.75" customHeight="1">
      <c r="C10" s="286" t="n"/>
      <c r="D10" s="286" t="n"/>
      <c r="E10" s="286" t="n"/>
      <c r="F10" s="286" t="n"/>
      <c r="G10" s="286" t="n"/>
      <c r="H10" s="286" t="n"/>
      <c r="I10" s="286" t="n"/>
      <c r="J10" s="286" t="n"/>
      <c r="K10" s="286" t="n"/>
      <c r="L10" s="286" t="n"/>
      <c r="M10" s="286" t="n"/>
      <c r="N10" s="108" t="n"/>
    </row>
    <row r="11" ht="6.75" customHeight="1">
      <c r="C11" s="286" t="n"/>
      <c r="D11" s="286" t="n"/>
      <c r="E11" s="286" t="n"/>
      <c r="F11" s="286" t="n"/>
      <c r="G11" s="286" t="n"/>
      <c r="H11" s="286" t="n"/>
      <c r="I11" s="286" t="n"/>
      <c r="J11" s="286" t="n"/>
      <c r="K11" s="286" t="n"/>
      <c r="L11" s="286" t="n"/>
      <c r="M11" s="286" t="n"/>
      <c r="N11" s="108" t="n"/>
    </row>
    <row r="12" ht="6.75" customHeight="1">
      <c r="C12" s="286" t="n"/>
      <c r="D12" s="286" t="n"/>
      <c r="E12" s="286" t="n"/>
      <c r="F12" s="286" t="n"/>
      <c r="G12" s="286" t="n"/>
      <c r="H12" s="286" t="n"/>
      <c r="I12" s="286" t="n"/>
      <c r="J12" s="286" t="n"/>
      <c r="K12" s="286" t="n"/>
      <c r="L12" s="286" t="n"/>
      <c r="M12" s="286" t="n"/>
      <c r="N12" s="108" t="n"/>
    </row>
    <row r="13" ht="6.75" customHeight="1">
      <c r="C13" s="286" t="n"/>
      <c r="D13" s="286" t="n"/>
      <c r="E13" s="286" t="n"/>
      <c r="F13" s="286" t="n"/>
      <c r="G13" s="286" t="n"/>
      <c r="H13" s="286" t="n"/>
      <c r="I13" s="286" t="n"/>
      <c r="J13" s="286" t="n"/>
      <c r="K13" s="286" t="n"/>
      <c r="L13" s="286" t="n"/>
      <c r="M13" s="286" t="n"/>
      <c r="N13" s="108" t="n"/>
    </row>
    <row r="14" ht="6.75" customHeight="1">
      <c r="C14" s="286" t="n"/>
      <c r="D14" s="286" t="n"/>
      <c r="E14" s="286" t="n"/>
      <c r="F14" s="286" t="n"/>
      <c r="G14" s="286" t="n"/>
      <c r="H14" s="286" t="n"/>
      <c r="I14" s="286" t="n"/>
      <c r="J14" s="286" t="n"/>
      <c r="K14" s="286" t="n"/>
      <c r="L14" s="286" t="n"/>
      <c r="M14" s="286" t="n"/>
      <c r="N14" s="108" t="n"/>
    </row>
    <row r="15" ht="6.75" customHeight="1">
      <c r="C15" s="286" t="n"/>
      <c r="D15" s="286" t="n"/>
      <c r="E15" s="286" t="n"/>
      <c r="F15" s="286" t="n"/>
      <c r="G15" s="286" t="n"/>
      <c r="H15" s="286" t="n"/>
      <c r="I15" s="286" t="n"/>
      <c r="J15" s="286" t="n"/>
      <c r="K15" s="286" t="n"/>
      <c r="L15" s="286" t="n"/>
      <c r="M15" s="286" t="n"/>
      <c r="N15" s="108" t="n"/>
    </row>
    <row r="16" ht="16" customHeight="1">
      <c r="L16" s="286" t="n"/>
      <c r="M16" s="286" t="n"/>
      <c r="N16" s="108" t="n"/>
    </row>
    <row r="17" ht="16" customHeight="1">
      <c r="C17" s="286" t="inlineStr">
        <is>
          <t>ORDEN DE INCIDENTE Y REQUERIMIENTO DEL SERVICIO</t>
        </is>
      </c>
    </row>
    <row r="19" ht="16.5" customHeight="1">
      <c r="I19" s="109" t="inlineStr">
        <is>
          <t>No. Folio:</t>
        </is>
      </c>
      <c r="J19" s="160" t="inlineStr">
        <is>
          <t>3701/2026</t>
        </is>
      </c>
    </row>
    <row r="20" ht="16" customFormat="1" customHeight="1" s="108">
      <c r="B20" s="109" t="n"/>
      <c r="C20" s="287" t="inlineStr">
        <is>
          <t>Municipio:</t>
        </is>
      </c>
      <c r="D20" s="305" t="n"/>
      <c r="E20" s="306" t="n"/>
      <c r="F20" s="287" t="inlineStr">
        <is>
          <t>Direccion</t>
        </is>
      </c>
      <c r="G20" s="305" t="n"/>
      <c r="H20" s="305" t="n"/>
      <c r="I20" s="305" t="n"/>
      <c r="J20" s="305" t="n"/>
      <c r="K20" s="306" t="n"/>
      <c r="L20" s="110" t="n"/>
      <c r="M20" s="110" t="n"/>
    </row>
    <row r="21" ht="16.5" customHeight="1">
      <c r="C21" s="264" t="inlineStr">
        <is>
          <t>TOLUCA 1N</t>
        </is>
      </c>
      <c r="D21" s="307" t="n"/>
      <c r="E21" s="308" t="n"/>
      <c r="F21" s="264" t="inlineStr">
        <is>
          <t>Blvd. Miguel Alemán 299, Reforma, Delegación Santa María Totoltepec, 52100 San Mateo Atenco, Méx.</t>
        </is>
      </c>
      <c r="G21" s="307" t="n"/>
      <c r="H21" s="307" t="n"/>
      <c r="I21" s="307" t="n"/>
      <c r="J21" s="307" t="n"/>
      <c r="K21" s="308" t="n"/>
      <c r="L21" s="111" t="n"/>
      <c r="M21" s="111" t="n"/>
    </row>
    <row r="22" ht="16" customFormat="1" customHeight="1" s="108">
      <c r="B22" s="109" t="n"/>
      <c r="C22" s="287" t="inlineStr">
        <is>
          <t>Afiliación:</t>
        </is>
      </c>
      <c r="D22" s="305" t="n"/>
      <c r="E22" s="306" t="n"/>
      <c r="F22" s="309" t="inlineStr">
        <is>
          <t>Nombre Comercial (Referencia)</t>
        </is>
      </c>
      <c r="G22" s="305" t="n"/>
      <c r="H22" s="305" t="n"/>
      <c r="I22" s="305" t="n"/>
      <c r="J22" s="305" t="n"/>
      <c r="K22" s="310" t="n"/>
      <c r="L22" s="109" t="n"/>
      <c r="M22" s="109" t="n"/>
    </row>
    <row r="23" ht="16.5" customHeight="1">
      <c r="C23" s="264" t="inlineStr">
        <is>
          <t>C5TOLVIDEOWALL</t>
        </is>
      </c>
      <c r="D23" s="307" t="n"/>
      <c r="E23" s="308" t="n"/>
      <c r="F23" s="311" t="inlineStr">
        <is>
          <t>1N VIDEO WALL</t>
        </is>
      </c>
      <c r="G23" s="307" t="n"/>
      <c r="H23" s="307" t="n"/>
      <c r="I23" s="307" t="n"/>
      <c r="J23" s="307" t="n"/>
      <c r="K23" s="312" t="n"/>
    </row>
    <row r="24" ht="16" customFormat="1" customHeight="1" s="108">
      <c r="B24" s="109" t="n"/>
      <c r="C24" s="287" t="inlineStr">
        <is>
          <t>Solicitante:</t>
        </is>
      </c>
      <c r="D24" s="305" t="n"/>
      <c r="E24" s="306" t="n"/>
      <c r="F24" s="313" t="inlineStr">
        <is>
          <t>Fecha de creación:</t>
        </is>
      </c>
      <c r="G24" s="314" t="n"/>
      <c r="H24" s="314" t="n"/>
      <c r="I24" s="314" t="n"/>
      <c r="J24" s="314" t="n"/>
      <c r="K24" s="315" t="n"/>
      <c r="L24" s="110" t="n"/>
      <c r="M24" s="110" t="n"/>
    </row>
    <row r="25" ht="16.5" customHeight="1">
      <c r="C25" s="264" t="inlineStr"/>
      <c r="D25" s="307" t="n"/>
      <c r="E25" s="308" t="n"/>
      <c r="F25" s="316" t="inlineStr">
        <is>
          <t>03/02/2026 10:04</t>
        </is>
      </c>
      <c r="G25" s="317" t="n"/>
      <c r="H25" s="317" t="n"/>
      <c r="I25" s="317" t="n"/>
      <c r="J25" s="317" t="n"/>
      <c r="K25" s="318" t="n"/>
      <c r="L25" s="111" t="n"/>
      <c r="M25" s="111" t="n"/>
    </row>
    <row r="26" ht="16" customHeight="1">
      <c r="F26" s="105" t="n"/>
      <c r="G26" s="105" t="n"/>
      <c r="H26" s="105" t="n"/>
      <c r="I26" s="105" t="n"/>
      <c r="J26" s="105" t="n"/>
      <c r="K26" s="105" t="n"/>
    </row>
    <row r="27" ht="16" customHeight="1">
      <c r="F27" s="105" t="n"/>
      <c r="G27" s="105" t="n"/>
      <c r="H27" s="105" t="n"/>
      <c r="I27" s="105" t="n"/>
      <c r="J27" s="105" t="n"/>
      <c r="K27" s="105" t="n"/>
    </row>
    <row r="28" ht="16" customHeight="1">
      <c r="C28" s="112" t="n"/>
      <c r="D28" s="112" t="n"/>
      <c r="E28" s="163" t="n"/>
      <c r="F28" s="111" t="n"/>
      <c r="G28" s="111" t="n"/>
      <c r="H28" s="111" t="n"/>
      <c r="I28" s="111" t="n"/>
      <c r="J28" s="111" t="n"/>
    </row>
    <row r="29" ht="16" customHeight="1">
      <c r="C29" s="112" t="n"/>
      <c r="D29" s="112" t="n"/>
      <c r="E29" s="163" t="n"/>
      <c r="F29" s="111" t="n"/>
      <c r="G29" s="111" t="n"/>
      <c r="H29" s="111" t="n"/>
      <c r="I29" s="111" t="n"/>
      <c r="J29" s="111" t="n"/>
    </row>
    <row r="31" ht="16" customHeight="1">
      <c r="C31" s="286" t="inlineStr">
        <is>
          <t>DESCRIPCION DE LA FALLA / INCIDENTE Y REQUERIMIENTO</t>
        </is>
      </c>
    </row>
    <row r="32" ht="16.5" customHeight="1"/>
    <row r="33" ht="16.5" customFormat="1" customHeight="1" s="108">
      <c r="B33" s="109" t="n"/>
      <c r="C33" s="287" t="inlineStr">
        <is>
          <t>Se atendio por</t>
        </is>
      </c>
      <c r="D33" s="305" t="n"/>
      <c r="E33" s="306" t="n"/>
      <c r="F33" s="164" t="inlineStr">
        <is>
          <t>Tecnologia</t>
        </is>
      </c>
      <c r="G33" s="314" t="n"/>
      <c r="H33" s="314" t="n"/>
      <c r="I33" s="196" t="inlineStr">
        <is>
          <t>Servicio:</t>
        </is>
      </c>
      <c r="J33" s="314" t="n"/>
      <c r="K33" s="315" t="n"/>
      <c r="L33" s="109" t="n"/>
      <c r="M33" s="109" t="n"/>
    </row>
    <row r="34" ht="16" customHeight="1">
      <c r="C34" s="261" t="inlineStr"/>
      <c r="D34" s="298" t="n"/>
      <c r="E34" s="299" t="n"/>
      <c r="F34" s="267" t="inlineStr">
        <is>
          <t>CIBERSEGURIDAD</t>
        </is>
      </c>
      <c r="G34" s="314" t="n"/>
      <c r="H34" s="319" t="n"/>
      <c r="I34" s="272" t="inlineStr">
        <is>
          <t xml:space="preserve">AJUSTE DE PARÁMETROS EN LOS COMPONENTES DE CIBERSEGURIDAD
</t>
        </is>
      </c>
      <c r="J34" s="314" t="n"/>
      <c r="K34" s="319" t="n"/>
    </row>
    <row r="35" ht="16.5" customHeight="1">
      <c r="C35" s="320" t="n"/>
      <c r="D35" s="303" t="n"/>
      <c r="E35" s="304" t="n"/>
      <c r="F35" s="320" t="n"/>
      <c r="G35" s="303" t="n"/>
      <c r="H35" s="304" t="n"/>
      <c r="I35" s="320" t="n"/>
      <c r="J35" s="303" t="n"/>
      <c r="K35" s="304" t="n"/>
    </row>
    <row r="36" ht="16.5" customFormat="1" customHeight="1" s="108">
      <c r="B36" s="109" t="n"/>
      <c r="C36" s="277" t="inlineStr">
        <is>
          <t>Fecha/Hora de llegada a sitio:</t>
        </is>
      </c>
      <c r="D36" s="303" t="n"/>
      <c r="E36" s="304" t="n"/>
      <c r="F36" s="280" t="inlineStr">
        <is>
          <t>DESCRIPCION DE ACTIVIDADES A REALIZAR</t>
        </is>
      </c>
      <c r="G36" s="317" t="n"/>
      <c r="H36" s="317" t="n"/>
      <c r="I36" s="317" t="n"/>
      <c r="J36" s="317" t="n"/>
      <c r="K36" s="321" t="n"/>
      <c r="L36" s="109" t="n"/>
      <c r="M36" s="109" t="n"/>
    </row>
    <row r="37" ht="16" customHeight="1">
      <c r="C37" s="242" t="inlineStr"/>
      <c r="D37" s="298" t="n"/>
      <c r="E37" s="299" t="n"/>
      <c r="F37" s="249" t="inlineStr">
        <is>
          <t xml:space="preserve">El cliente : </t>
        </is>
      </c>
      <c r="G37" s="314" t="n"/>
      <c r="H37" s="252" t="inlineStr"/>
      <c r="I37" s="314" t="n"/>
      <c r="J37" s="314" t="n"/>
      <c r="K37" s="315" t="n"/>
    </row>
    <row r="38" ht="40.5" customHeight="1">
      <c r="C38" s="322" t="n"/>
      <c r="E38" s="301" t="n"/>
      <c r="F38" s="253" t="inlineStr">
        <is>
          <t>Descripcion de la falla:</t>
        </is>
      </c>
      <c r="H38" s="256" t="inlineStr">
        <is>
          <t>TIPO DE INCIDENTE: NO SE PUDO LIMPIAR UNA AMENAZA.
FECHA Y HORA: 02/02/26 08:58
SISTEMA:  SOPHOS
DONDE OCURRIO: CVM1-WS039
UBICACIÓN DEL ARCHIVO:D:\19-10-2025.EXE
QUE SE DETECTO: TROJ/AUTOG-KT
USUARIO: SSEDOMEX\CRISTINA.RAMOS
NIVEL DE GRAVEDAD: MEDIO
ACCIÓN AUTOMÁTICA: SE HA INTENTADO LIMPIAR UNA AMENAZA.
ACCIÓN RECOMENDADA: EN LA CONSOLA DE SOPHOS CENTRAL ADMIN, VAYA A LA PÁGINA ALERTAS Y BUSQUE LA ALERTA DE AMENAZA. HAGA CLIC EN EL NOMBRE DE LA AMENAZA PARA CONSULTAR LOS DETALLES Y CONSEJOS DE LIMPIEZA EN EL SITIO WEB DE SOPHOS. A CONTINUACIÓN, VAYA AL ORDENADOR AFECTADO Y LIMPIE LA AMENAZA DE FORMA MANUAL.
OBSERVACIONES:  TROYANO DISEÑADO PARA DESCARGAR MALWARE  SE DISFRAZAN DE SOFTWARE LEGÍTIMO, INOFENSIVO O ÚTIL PARA ENGAÑAR AL USUARIO Y LOGRAR SU EJECUCIÓN.</t>
        </is>
      </c>
      <c r="K38" s="323" t="n"/>
    </row>
    <row r="39" ht="16.5" customHeight="1">
      <c r="C39" s="320" t="n"/>
      <c r="D39" s="303" t="n"/>
      <c r="E39" s="304" t="n"/>
      <c r="F39" s="257" t="inlineStr">
        <is>
          <t>Afiliación :</t>
        </is>
      </c>
      <c r="G39" s="317" t="n"/>
      <c r="H39" s="260" t="inlineStr">
        <is>
          <t>C5TOLVIDEOWALL</t>
        </is>
      </c>
      <c r="I39" s="317" t="n"/>
      <c r="J39" s="317" t="n"/>
      <c r="K39" s="318" t="n"/>
    </row>
    <row r="40" ht="15" customFormat="1" customHeight="1" s="108">
      <c r="B40" s="109" t="n"/>
      <c r="C40" s="324" t="inlineStr">
        <is>
          <t>Falla declarada:</t>
        </is>
      </c>
      <c r="D40" s="296" t="n"/>
      <c r="E40" s="325" t="n"/>
      <c r="F40" s="326" t="inlineStr">
        <is>
          <t>Falla efectiva/ Diagnostico Real.</t>
        </is>
      </c>
      <c r="G40" s="327" t="n"/>
      <c r="H40" s="327" t="n"/>
      <c r="I40" s="327" t="n"/>
      <c r="J40" s="327" t="n"/>
      <c r="K40" s="328" t="n"/>
      <c r="L40" s="109" t="n"/>
      <c r="M40" s="109" t="n"/>
    </row>
    <row r="41" ht="15" customHeight="1">
      <c r="C41" s="329" t="inlineStr">
        <is>
          <t>TIPO DE INCIDENTE: NO SE PUDO LIMPIAR UNA AMENAZA.
FECHA Y HORA: 02/02/26 08:58
SISTEMA:  SOPHOS
DONDE OCURRIO: CVM1-WS039
UBICACIÓN DEL ARCHIVO:D:\19-10-2025.EXE
QUE SE DETECTO: TROJ/AUTOG-KT
USUARIO: SSEDOMEX\CRISTINA.RAMOS
NIVEL DE GRAVEDAD: MEDIO
ACCIÓN AUTOMÁTICA: SE HA INTENTADO LIMPIAR UNA AMENAZA.
ACCIÓN RECOMENDADA: EN LA CONSOLA DE SOPHOS CENTRAL ADMIN, VAYA A LA PÁGINA ALERTAS Y BUSQUE LA ALERTA DE AMENAZA. HAGA CLIC EN EL NOMBRE DE LA AMENAZA PARA CONSULTAR LOS DETALLES Y CONSEJOS DE LIMPIEZA EN EL SITIO WEB DE SOPHOS. A CONTINUACIÓN, VAYA AL ORDENADOR AFECTADO Y LIMPIE LA AMENAZA DE FORMA MANUAL.
OBSERVACIONES:  TROYANO DISEÑADO PARA DESCARGAR MALWARE  SE DISFRAZAN DE SOFTWARE LEGÍTIMO, INOFENSIVO O ÚTIL PARA ENGAÑAR AL USUARIO Y LOGRAR SU EJECUCIÓN.</t>
        </is>
      </c>
      <c r="D41" s="298" t="n"/>
      <c r="E41" s="330" t="n"/>
      <c r="F41" s="331" t="inlineStr"/>
      <c r="G41" s="314" t="n"/>
      <c r="H41" s="314" t="n"/>
      <c r="I41" s="314" t="n"/>
      <c r="J41" s="314" t="n"/>
      <c r="K41" s="315" t="n"/>
    </row>
    <row r="42" ht="16" customHeight="1">
      <c r="C42" s="322" t="n"/>
      <c r="E42" s="323" t="n"/>
      <c r="F42" s="322" t="n"/>
      <c r="K42" s="323" t="n"/>
    </row>
    <row r="43" ht="16.5" customHeight="1">
      <c r="C43" s="320" t="n"/>
      <c r="D43" s="303" t="n"/>
      <c r="E43" s="332" t="n"/>
      <c r="F43" s="333" t="n"/>
      <c r="G43" s="317" t="n"/>
      <c r="H43" s="317" t="n"/>
      <c r="I43" s="317" t="n"/>
      <c r="J43" s="317" t="n"/>
      <c r="K43" s="318" t="n"/>
    </row>
    <row r="44" ht="14.25" customFormat="1" customHeight="1" s="108">
      <c r="B44" s="109" t="n"/>
      <c r="C44" s="334" t="inlineStr">
        <is>
          <t>Estatus del folio:</t>
        </is>
      </c>
      <c r="D44" s="298" t="n"/>
      <c r="E44" s="330" t="n"/>
      <c r="F44" s="237" t="inlineStr">
        <is>
          <t xml:space="preserve">Fecha de atención: </t>
        </is>
      </c>
      <c r="H44" s="301" t="n"/>
      <c r="I44" s="109" t="n"/>
      <c r="J44" s="109" t="n"/>
    </row>
    <row r="45" hidden="1" ht="6" customHeight="1">
      <c r="C45" s="322" t="n"/>
      <c r="E45" s="323" t="n"/>
      <c r="F45" s="335" t="inlineStr"/>
      <c r="G45" s="314" t="n"/>
      <c r="H45" s="315" t="n"/>
      <c r="K45" s="105" t="n"/>
      <c r="L45" s="105" t="n"/>
      <c r="M45" s="105" t="n"/>
    </row>
    <row r="46" hidden="1" ht="15" customHeight="1">
      <c r="C46" s="320" t="n"/>
      <c r="D46" s="303" t="n"/>
      <c r="E46" s="332" t="n"/>
      <c r="F46" s="322" t="n"/>
      <c r="H46" s="323" t="n"/>
      <c r="K46" s="105" t="n"/>
      <c r="L46" s="105" t="n"/>
      <c r="M46" s="105" t="n"/>
    </row>
    <row r="47" ht="33" customHeight="1">
      <c r="C47" s="336" t="inlineStr"/>
      <c r="D47" s="307" t="n"/>
      <c r="E47" s="312" t="n"/>
      <c r="F47" s="333" t="n"/>
      <c r="G47" s="317" t="n"/>
      <c r="H47" s="318" t="n"/>
      <c r="K47" s="105" t="n"/>
      <c r="L47" s="105" t="n"/>
      <c r="M47" s="105" t="n"/>
    </row>
    <row r="48" ht="15" customHeight="1">
      <c r="C48" s="209" t="n"/>
      <c r="D48" s="314" t="n"/>
      <c r="E48" s="314" t="n"/>
      <c r="F48" s="211" t="n"/>
      <c r="K48" s="105" t="n"/>
      <c r="L48" s="105" t="n"/>
      <c r="M48" s="105" t="n"/>
    </row>
    <row r="49" ht="16" customHeight="1">
      <c r="F49" s="210" t="n"/>
      <c r="K49" s="105" t="n"/>
      <c r="L49" s="105" t="n"/>
      <c r="M49" s="105" t="n"/>
    </row>
    <row r="50" ht="16" customHeight="1">
      <c r="C50" s="210" t="n"/>
      <c r="D50" s="210" t="n"/>
      <c r="E50" s="210" t="n"/>
      <c r="F50" s="210" t="n"/>
      <c r="G50" s="210" t="n"/>
      <c r="H50" s="210" t="n"/>
      <c r="I50" s="211" t="n"/>
      <c r="J50" s="211" t="n"/>
      <c r="K50" s="211" t="n"/>
    </row>
    <row r="51" ht="16" customHeight="1">
      <c r="C51" s="210" t="n"/>
      <c r="D51" s="210" t="n"/>
      <c r="E51" s="210" t="n"/>
      <c r="F51" s="210" t="n"/>
      <c r="G51" s="210" t="n"/>
      <c r="H51" s="210" t="n"/>
      <c r="I51" s="211" t="n"/>
      <c r="J51" s="211" t="n"/>
      <c r="K51" s="211" t="n"/>
    </row>
    <row r="53" ht="16" customFormat="1" customHeight="1" s="108">
      <c r="B53" s="109" t="n"/>
      <c r="C53" s="212" t="inlineStr">
        <is>
          <t>COMENTARIOS DE ATENCION AL INCIDENTE Y REQUERIMIENTO LEVANTADO</t>
        </is>
      </c>
      <c r="K53" s="109" t="n"/>
      <c r="L53" s="109" t="n"/>
      <c r="M53" s="109" t="n"/>
    </row>
    <row r="54" ht="16.5" customHeight="1"/>
    <row r="55" ht="16" customHeight="1">
      <c r="C55" s="337" t="inlineStr">
        <is>
          <t>Diagnostico del problema:</t>
        </is>
      </c>
      <c r="D55" s="305" t="n"/>
      <c r="E55" s="310" t="n"/>
      <c r="F55" s="338" t="inlineStr"/>
      <c r="G55" s="305" t="n"/>
      <c r="H55" s="305" t="n"/>
      <c r="I55" s="305" t="n"/>
      <c r="J55" s="305" t="n"/>
      <c r="K55" s="310" t="n"/>
    </row>
    <row r="56" ht="16" customHeight="1">
      <c r="C56" s="339" t="inlineStr">
        <is>
          <t>&gt; Acciones/Trabajos realizados:</t>
        </is>
      </c>
      <c r="D56" s="296" t="n"/>
      <c r="E56" s="325" t="n"/>
      <c r="F56" s="340" t="inlineStr"/>
      <c r="G56" s="296" t="n"/>
      <c r="H56" s="296" t="n"/>
      <c r="I56" s="296" t="n"/>
      <c r="J56" s="296" t="n"/>
      <c r="K56" s="325" t="n"/>
    </row>
    <row r="57" ht="16" customHeight="1">
      <c r="C57" s="339" t="inlineStr">
        <is>
          <t>&gt; Estatus de la reparacion:</t>
        </is>
      </c>
      <c r="D57" s="296" t="n"/>
      <c r="E57" s="325" t="n"/>
      <c r="F57" s="340" t="inlineStr"/>
      <c r="G57" s="296" t="n"/>
      <c r="H57" s="296" t="n"/>
      <c r="I57" s="296" t="n"/>
      <c r="J57" s="296" t="n"/>
      <c r="K57" s="325" t="n"/>
    </row>
    <row r="58" ht="16" customHeight="1">
      <c r="C58" s="339" t="inlineStr">
        <is>
          <t>voltaje inadecuado</t>
        </is>
      </c>
      <c r="D58" s="296" t="n"/>
      <c r="E58" s="325" t="n"/>
      <c r="F58" s="341" t="inlineStr"/>
      <c r="G58" s="296" t="n"/>
      <c r="H58" s="296" t="n"/>
      <c r="I58" s="296" t="n"/>
      <c r="J58" s="296" t="n"/>
      <c r="K58" s="325" t="n"/>
    </row>
    <row r="59" ht="16" customHeight="1">
      <c r="C59" s="339" t="inlineStr">
        <is>
          <t>Razon intervencion 1:</t>
        </is>
      </c>
      <c r="D59" s="296" t="n"/>
      <c r="E59" s="325" t="n"/>
      <c r="F59" s="341" t="inlineStr"/>
      <c r="G59" s="296" t="n"/>
      <c r="H59" s="296" t="n"/>
      <c r="I59" s="296" t="n"/>
      <c r="J59" s="296" t="n"/>
      <c r="K59" s="325" t="n"/>
    </row>
    <row r="60" ht="16" customHeight="1">
      <c r="C60" s="339" t="inlineStr">
        <is>
          <t>Razon intervencion 2:</t>
        </is>
      </c>
      <c r="D60" s="296" t="n"/>
      <c r="E60" s="325" t="n"/>
      <c r="F60" s="341" t="inlineStr"/>
      <c r="G60" s="296" t="n"/>
      <c r="H60" s="296" t="n"/>
      <c r="I60" s="296" t="n"/>
      <c r="J60" s="296" t="n"/>
      <c r="K60" s="325" t="n"/>
    </row>
    <row r="61" ht="16" customHeight="1">
      <c r="C61" s="339" t="inlineStr">
        <is>
          <t>Cliente</t>
        </is>
      </c>
      <c r="D61" s="296" t="n"/>
      <c r="E61" s="325" t="n"/>
      <c r="F61" s="341" t="inlineStr"/>
      <c r="G61" s="296" t="n"/>
      <c r="H61" s="296" t="n"/>
      <c r="I61" s="296" t="n"/>
      <c r="J61" s="296" t="n"/>
      <c r="K61" s="325" t="n"/>
    </row>
    <row r="62" ht="16" customHeight="1">
      <c r="C62" s="339" t="inlineStr">
        <is>
          <t>Descripcion de la Falla</t>
        </is>
      </c>
      <c r="D62" s="296" t="n"/>
      <c r="E62" s="325" t="n"/>
      <c r="F62" s="341" t="inlineStr"/>
      <c r="G62" s="296" t="n"/>
      <c r="H62" s="296" t="n"/>
      <c r="I62" s="296" t="n"/>
      <c r="J62" s="296" t="n"/>
      <c r="K62" s="325" t="n"/>
    </row>
    <row r="63" ht="16.5" customHeight="1">
      <c r="C63" s="342" t="inlineStr">
        <is>
          <t>Folio</t>
        </is>
      </c>
      <c r="D63" s="307" t="n"/>
      <c r="E63" s="312" t="n"/>
      <c r="F63" s="343" t="inlineStr"/>
      <c r="G63" s="307" t="n"/>
      <c r="H63" s="307" t="n"/>
      <c r="I63" s="307" t="n"/>
      <c r="J63" s="307" t="n"/>
      <c r="K63" s="312" t="n"/>
    </row>
    <row r="64" ht="15" customHeight="1">
      <c r="C64" s="326" t="inlineStr">
        <is>
          <t>Diagnostico del problema:</t>
        </is>
      </c>
      <c r="D64" s="314" t="n"/>
      <c r="E64" s="315" t="n"/>
      <c r="F64" s="331" t="inlineStr"/>
      <c r="G64" s="314" t="n"/>
      <c r="H64" s="314" t="n"/>
      <c r="I64" s="314" t="n"/>
      <c r="J64" s="314" t="n"/>
      <c r="K64" s="315" t="n"/>
    </row>
    <row r="65" ht="16" customHeight="1">
      <c r="C65" s="322" t="n"/>
      <c r="E65" s="323" t="n"/>
      <c r="F65" s="322" t="n"/>
      <c r="K65" s="323" t="n"/>
    </row>
    <row r="66" ht="16" customHeight="1">
      <c r="C66" s="322" t="n"/>
      <c r="E66" s="323" t="n"/>
      <c r="F66" s="322" t="n"/>
      <c r="K66" s="323" t="n"/>
    </row>
    <row r="67" ht="16" customHeight="1">
      <c r="C67" s="322" t="n"/>
      <c r="E67" s="323" t="n"/>
      <c r="F67" s="322" t="n"/>
      <c r="K67" s="323" t="n"/>
    </row>
    <row r="68" ht="16" customHeight="1">
      <c r="C68" s="322" t="n"/>
      <c r="E68" s="323" t="n"/>
      <c r="F68" s="322" t="n"/>
      <c r="K68" s="323" t="n"/>
    </row>
    <row r="69" ht="16" customHeight="1">
      <c r="C69" s="322" t="n"/>
      <c r="E69" s="323" t="n"/>
      <c r="F69" s="322" t="n"/>
      <c r="K69" s="323" t="n"/>
    </row>
    <row r="70" ht="16" customHeight="1">
      <c r="C70" s="322" t="n"/>
      <c r="E70" s="323" t="n"/>
      <c r="F70" s="322" t="n"/>
      <c r="K70" s="323" t="n"/>
    </row>
    <row r="71" ht="16" customHeight="1">
      <c r="C71" s="322" t="n"/>
      <c r="E71" s="323" t="n"/>
      <c r="F71" s="322" t="n"/>
      <c r="K71" s="323" t="n"/>
    </row>
    <row r="72" ht="16" customHeight="1">
      <c r="C72" s="322" t="n"/>
      <c r="E72" s="323" t="n"/>
      <c r="F72" s="322" t="n"/>
      <c r="K72" s="323" t="n"/>
    </row>
    <row r="73" ht="16.5" customHeight="1">
      <c r="C73" s="333" t="n"/>
      <c r="D73" s="317" t="n"/>
      <c r="E73" s="318" t="n"/>
      <c r="F73" s="333" t="n"/>
      <c r="G73" s="317" t="n"/>
      <c r="H73" s="317" t="n"/>
      <c r="I73" s="317" t="n"/>
      <c r="J73" s="317" t="n"/>
      <c r="K73" s="318" t="n"/>
    </row>
    <row r="74" ht="16" customHeight="1">
      <c r="C74" s="287" t="inlineStr">
        <is>
          <t>Solución del problema:</t>
        </is>
      </c>
      <c r="D74" s="314" t="n"/>
      <c r="E74" s="319" t="n"/>
      <c r="F74" s="274" t="inlineStr"/>
      <c r="G74" s="314" t="n"/>
      <c r="H74" s="314" t="n"/>
      <c r="I74" s="314" t="n"/>
      <c r="J74" s="314" t="n"/>
      <c r="K74" s="315" t="n"/>
    </row>
    <row r="75" ht="16" customHeight="1">
      <c r="C75" s="322" t="n"/>
      <c r="E75" s="301" t="n"/>
      <c r="F75" s="300" t="n"/>
      <c r="K75" s="323" t="n"/>
    </row>
    <row r="76" ht="16" customHeight="1">
      <c r="C76" s="322" t="n"/>
      <c r="E76" s="301" t="n"/>
      <c r="F76" s="300" t="n"/>
      <c r="K76" s="323" t="n"/>
    </row>
    <row r="77" ht="16" customHeight="1">
      <c r="C77" s="322" t="n"/>
      <c r="E77" s="301" t="n"/>
      <c r="F77" s="300" t="n"/>
      <c r="K77" s="323" t="n"/>
    </row>
    <row r="78" ht="16" customHeight="1">
      <c r="C78" s="322" t="n"/>
      <c r="E78" s="301" t="n"/>
      <c r="F78" s="300" t="n"/>
      <c r="K78" s="323" t="n"/>
    </row>
    <row r="79" ht="16" customHeight="1">
      <c r="C79" s="322" t="n"/>
      <c r="E79" s="301" t="n"/>
      <c r="F79" s="300" t="n"/>
      <c r="K79" s="323" t="n"/>
    </row>
    <row r="80" ht="16" customHeight="1">
      <c r="C80" s="322" t="n"/>
      <c r="E80" s="301" t="n"/>
      <c r="F80" s="300" t="n"/>
      <c r="K80" s="323" t="n"/>
    </row>
    <row r="81" ht="16" customHeight="1">
      <c r="C81" s="320" t="n"/>
      <c r="D81" s="303" t="n"/>
      <c r="E81" s="304" t="n"/>
      <c r="F81" s="302" t="n"/>
      <c r="G81" s="303" t="n"/>
      <c r="H81" s="303" t="n"/>
      <c r="I81" s="303" t="n"/>
      <c r="J81" s="303" t="n"/>
      <c r="K81" s="332" t="n"/>
    </row>
    <row r="82" ht="16" customHeight="1">
      <c r="C82" s="163" t="n"/>
      <c r="D82" s="163" t="n"/>
      <c r="E82" s="163" t="n"/>
      <c r="F82" s="163" t="n"/>
      <c r="G82" s="163" t="n"/>
      <c r="H82" s="163" t="n"/>
      <c r="I82" s="163" t="n"/>
      <c r="J82" s="163" t="n"/>
      <c r="K82" s="163" t="n"/>
    </row>
    <row r="83" ht="16" customHeight="1">
      <c r="C83" s="163" t="n"/>
      <c r="D83" s="163" t="n"/>
      <c r="E83" s="163" t="n"/>
      <c r="F83" s="163" t="n"/>
      <c r="G83" s="163" t="n"/>
      <c r="H83" s="163" t="n"/>
      <c r="I83" s="163" t="n"/>
      <c r="J83" s="163" t="n"/>
      <c r="K83" s="163" t="n"/>
    </row>
    <row r="84" ht="16" customHeight="1">
      <c r="C84" s="163" t="n"/>
      <c r="D84" s="163" t="n"/>
      <c r="E84" s="163" t="n"/>
      <c r="F84" s="163" t="n"/>
      <c r="G84" s="163" t="n"/>
      <c r="H84" s="163" t="n"/>
      <c r="I84" s="163" t="n"/>
      <c r="J84" s="163" t="n"/>
      <c r="K84" s="163" t="n"/>
    </row>
    <row r="86" ht="16" customHeight="1">
      <c r="C86" s="182" t="inlineStr">
        <is>
          <t>TOTAL DE COMPONENTES DE CONFIGURACION DE INCIDENTE Y REQUERIMIENTO</t>
        </is>
      </c>
      <c r="K86" s="109" t="n"/>
    </row>
    <row r="87" ht="16.5" customHeight="1">
      <c r="C87" s="183" t="inlineStr">
        <is>
          <t>(SOLO EN CASO DE CAMBIO O SUSTITUCION)</t>
        </is>
      </c>
      <c r="D87" s="317" t="n"/>
      <c r="E87" s="317" t="n"/>
      <c r="F87" s="317" t="n"/>
      <c r="G87" s="317" t="n"/>
      <c r="H87" s="317" t="n"/>
      <c r="I87" s="317" t="n"/>
      <c r="J87" s="317" t="n"/>
      <c r="K87" s="109" t="n"/>
    </row>
    <row r="88" ht="16" customHeight="1">
      <c r="C88" s="344" t="inlineStr"/>
      <c r="D88" s="314" t="n"/>
      <c r="E88" s="314" t="n"/>
      <c r="F88" s="314" t="n"/>
      <c r="G88" s="314" t="n"/>
      <c r="H88" s="314" t="n"/>
      <c r="I88" s="314" t="n"/>
      <c r="J88" s="314" t="n"/>
      <c r="K88" s="315" t="n"/>
    </row>
    <row r="89" ht="16" customHeight="1">
      <c r="C89" s="322" t="n"/>
      <c r="K89" s="323" t="n"/>
    </row>
    <row r="90" ht="16.5" customHeight="1">
      <c r="C90" s="333" t="n"/>
      <c r="D90" s="317" t="n"/>
      <c r="E90" s="317" t="n"/>
      <c r="F90" s="317" t="n"/>
      <c r="G90" s="317" t="n"/>
      <c r="H90" s="317" t="n"/>
      <c r="I90" s="317" t="n"/>
      <c r="J90" s="317" t="n"/>
      <c r="K90" s="318" t="n"/>
    </row>
    <row r="91" ht="16" customHeight="1">
      <c r="C91" s="344" t="inlineStr"/>
      <c r="D91" s="314" t="n"/>
      <c r="E91" s="314" t="n"/>
      <c r="F91" s="314" t="n"/>
      <c r="G91" s="314" t="n"/>
      <c r="H91" s="314" t="n"/>
      <c r="I91" s="314" t="n"/>
      <c r="J91" s="314" t="n"/>
      <c r="K91" s="315" t="n"/>
    </row>
    <row r="92" ht="16" customHeight="1">
      <c r="C92" s="322" t="n"/>
      <c r="K92" s="323" t="n"/>
    </row>
    <row r="93" ht="16" customHeight="1">
      <c r="C93" s="322" t="n"/>
      <c r="K93" s="323" t="n"/>
    </row>
    <row r="94" ht="16" customHeight="1">
      <c r="C94" s="322" t="n"/>
      <c r="K94" s="323" t="n"/>
    </row>
    <row r="95" ht="16.5" customHeight="1">
      <c r="C95" s="333" t="n"/>
      <c r="D95" s="317" t="n"/>
      <c r="E95" s="317" t="n"/>
      <c r="F95" s="317" t="n"/>
      <c r="G95" s="317" t="n"/>
      <c r="H95" s="317" t="n"/>
      <c r="I95" s="317" t="n"/>
      <c r="J95" s="317" t="n"/>
      <c r="K95" s="318" t="n"/>
    </row>
    <row r="97" ht="16" customHeight="1">
      <c r="C97" s="162" t="inlineStr">
        <is>
          <t>EVIDENCIA FOTOGRAFICA DEL TRABAJO REALIZADO</t>
        </is>
      </c>
    </row>
    <row r="99" ht="16.5" customHeight="1">
      <c r="C99" s="163" t="inlineStr">
        <is>
          <t>ANTES</t>
        </is>
      </c>
      <c r="G99" s="116" t="n"/>
      <c r="H99" s="140" t="inlineStr">
        <is>
          <t>PROCESO 1</t>
        </is>
      </c>
      <c r="L99" s="116" t="n"/>
      <c r="M99" s="116" t="n"/>
    </row>
    <row r="100" ht="16" customHeight="1">
      <c r="C100" s="345" t="n"/>
      <c r="D100" s="314" t="n"/>
      <c r="E100" s="314" t="n"/>
      <c r="F100" s="315" t="n"/>
      <c r="H100" s="344" t="n"/>
      <c r="I100" s="314" t="n"/>
      <c r="J100" s="314" t="n"/>
      <c r="K100" s="315" t="n"/>
    </row>
    <row r="101" ht="16" customHeight="1">
      <c r="C101" s="322" t="n"/>
      <c r="F101" s="323" t="n"/>
      <c r="H101" s="322" t="n"/>
      <c r="K101" s="323" t="n"/>
    </row>
    <row r="102" ht="16" customHeight="1">
      <c r="C102" s="322" t="n"/>
      <c r="F102" s="323" t="n"/>
      <c r="H102" s="322" t="n"/>
      <c r="K102" s="323" t="n"/>
    </row>
    <row r="103" ht="16" customHeight="1">
      <c r="C103" s="322" t="n"/>
      <c r="F103" s="323" t="n"/>
      <c r="H103" s="322" t="n"/>
      <c r="K103" s="323" t="n"/>
    </row>
    <row r="104" ht="16" customHeight="1">
      <c r="C104" s="322" t="n"/>
      <c r="F104" s="323" t="n"/>
      <c r="H104" s="322" t="n"/>
      <c r="K104" s="323" t="n"/>
    </row>
    <row r="105" ht="16" customHeight="1">
      <c r="C105" s="322" t="n"/>
      <c r="F105" s="323" t="n"/>
      <c r="H105" s="322" t="n"/>
      <c r="K105" s="323" t="n"/>
    </row>
    <row r="106" ht="16" customHeight="1">
      <c r="C106" s="322" t="n"/>
      <c r="F106" s="323" t="n"/>
      <c r="H106" s="322" t="n"/>
      <c r="K106" s="323" t="n"/>
    </row>
    <row r="107" ht="16" customHeight="1">
      <c r="C107" s="322" t="n"/>
      <c r="F107" s="323" t="n"/>
      <c r="H107" s="322" t="n"/>
      <c r="K107" s="323" t="n"/>
    </row>
    <row r="108" ht="16" customHeight="1">
      <c r="C108" s="322" t="n"/>
      <c r="F108" s="323" t="n"/>
      <c r="H108" s="322" t="n"/>
      <c r="K108" s="323" t="n"/>
    </row>
    <row r="109" ht="16" customHeight="1">
      <c r="C109" s="322" t="n"/>
      <c r="F109" s="323" t="n"/>
      <c r="H109" s="322" t="n"/>
      <c r="K109" s="323" t="n"/>
    </row>
    <row r="110" ht="16" customHeight="1">
      <c r="C110" s="322" t="n"/>
      <c r="F110" s="323" t="n"/>
      <c r="H110" s="322" t="n"/>
      <c r="K110" s="323" t="n"/>
    </row>
    <row r="111" ht="16" customHeight="1">
      <c r="C111" s="322" t="n"/>
      <c r="F111" s="323" t="n"/>
      <c r="H111" s="322" t="n"/>
      <c r="K111" s="323" t="n"/>
    </row>
    <row r="112" ht="16" customHeight="1">
      <c r="C112" s="322" t="n"/>
      <c r="F112" s="323" t="n"/>
      <c r="H112" s="322" t="n"/>
      <c r="K112" s="323" t="n"/>
    </row>
    <row r="113" ht="16" customHeight="1">
      <c r="C113" s="322" t="n"/>
      <c r="F113" s="323" t="n"/>
      <c r="H113" s="322" t="n"/>
      <c r="K113" s="323" t="n"/>
    </row>
    <row r="114" ht="16" customHeight="1">
      <c r="C114" s="322" t="n"/>
      <c r="F114" s="323" t="n"/>
      <c r="H114" s="322" t="n"/>
      <c r="K114" s="323" t="n"/>
    </row>
    <row r="115" ht="16" customHeight="1">
      <c r="C115" s="322" t="n"/>
      <c r="F115" s="323" t="n"/>
      <c r="H115" s="322" t="n"/>
      <c r="K115" s="323" t="n"/>
    </row>
    <row r="116" ht="16" customHeight="1">
      <c r="C116" s="322" t="n"/>
      <c r="F116" s="323" t="n"/>
      <c r="H116" s="322" t="n"/>
      <c r="K116" s="323" t="n"/>
    </row>
    <row r="117" ht="16" customHeight="1">
      <c r="C117" s="322" t="n"/>
      <c r="F117" s="323" t="n"/>
      <c r="H117" s="322" t="n"/>
      <c r="K117" s="323" t="n"/>
    </row>
    <row r="118" ht="16" customHeight="1">
      <c r="C118" s="322" t="n"/>
      <c r="F118" s="323" t="n"/>
      <c r="H118" s="322" t="n"/>
      <c r="K118" s="323" t="n"/>
    </row>
    <row r="119" ht="16" customHeight="1">
      <c r="C119" s="322" t="n"/>
      <c r="F119" s="323" t="n"/>
      <c r="H119" s="322" t="n"/>
      <c r="K119" s="323" t="n"/>
    </row>
    <row r="120" ht="16.5" customHeight="1">
      <c r="C120" s="322" t="n"/>
      <c r="F120" s="323" t="n"/>
      <c r="H120" s="333" t="n"/>
      <c r="I120" s="317" t="n"/>
      <c r="J120" s="317" t="n"/>
      <c r="K120" s="318" t="n"/>
    </row>
    <row r="121" ht="27" customHeight="1">
      <c r="D121" s="150" t="n"/>
      <c r="E121" s="298" t="n"/>
      <c r="F121" s="298" t="n"/>
      <c r="H121" s="117" t="n"/>
      <c r="I121" s="118" t="n"/>
      <c r="J121" s="118" t="n"/>
    </row>
    <row r="122" ht="16" customHeight="1">
      <c r="J122" s="118" t="n"/>
    </row>
    <row r="123" ht="16" customHeight="1"/>
    <row r="125" ht="16.5" customHeight="1">
      <c r="C125" s="140" t="inlineStr">
        <is>
          <t>PROCESO 2</t>
        </is>
      </c>
      <c r="H125" s="140" t="inlineStr">
        <is>
          <t>FINAL</t>
        </is>
      </c>
    </row>
    <row r="126" ht="16" customHeight="1">
      <c r="C126" s="344" t="n"/>
      <c r="D126" s="314" t="n"/>
      <c r="E126" s="314" t="n"/>
      <c r="F126" s="315" t="n"/>
      <c r="H126" s="344" t="n"/>
      <c r="I126" s="314" t="n"/>
      <c r="J126" s="314" t="n"/>
      <c r="K126" s="315" t="n"/>
    </row>
    <row r="127" ht="16" customHeight="1">
      <c r="C127" s="322" t="n"/>
      <c r="F127" s="323" t="n"/>
      <c r="H127" s="322" t="n"/>
      <c r="K127" s="323" t="n"/>
    </row>
    <row r="128" ht="16" customHeight="1">
      <c r="C128" s="322" t="n"/>
      <c r="F128" s="323" t="n"/>
      <c r="H128" s="322" t="n"/>
      <c r="K128" s="323" t="n"/>
    </row>
    <row r="129" ht="16" customHeight="1">
      <c r="C129" s="322" t="n"/>
      <c r="F129" s="323" t="n"/>
      <c r="H129" s="322" t="n"/>
      <c r="K129" s="323" t="n"/>
    </row>
    <row r="130" ht="16" customHeight="1">
      <c r="C130" s="322" t="n"/>
      <c r="F130" s="323" t="n"/>
      <c r="H130" s="322" t="n"/>
      <c r="K130" s="323" t="n"/>
    </row>
    <row r="131" ht="16" customHeight="1">
      <c r="C131" s="322" t="n"/>
      <c r="F131" s="323" t="n"/>
      <c r="H131" s="322" t="n"/>
      <c r="K131" s="323" t="n"/>
    </row>
    <row r="132" ht="16" customHeight="1">
      <c r="C132" s="322" t="n"/>
      <c r="F132" s="323" t="n"/>
      <c r="H132" s="322" t="n"/>
      <c r="K132" s="323" t="n"/>
    </row>
    <row r="133" ht="16" customHeight="1">
      <c r="C133" s="322" t="n"/>
      <c r="F133" s="323" t="n"/>
      <c r="H133" s="322" t="n"/>
      <c r="K133" s="323" t="n"/>
    </row>
    <row r="134" ht="16" customHeight="1">
      <c r="C134" s="322" t="n"/>
      <c r="F134" s="323" t="n"/>
      <c r="H134" s="322" t="n"/>
      <c r="K134" s="323" t="n"/>
    </row>
    <row r="135" ht="16" customHeight="1">
      <c r="C135" s="322" t="n"/>
      <c r="F135" s="323" t="n"/>
      <c r="H135" s="322" t="n"/>
      <c r="K135" s="323" t="n"/>
    </row>
    <row r="136" ht="16" customHeight="1">
      <c r="C136" s="322" t="n"/>
      <c r="F136" s="323" t="n"/>
      <c r="H136" s="322" t="n"/>
      <c r="K136" s="323" t="n"/>
    </row>
    <row r="137" ht="16" customHeight="1">
      <c r="C137" s="322" t="n"/>
      <c r="F137" s="323" t="n"/>
      <c r="H137" s="322" t="n"/>
      <c r="K137" s="323" t="n"/>
    </row>
    <row r="138" ht="16" customHeight="1">
      <c r="C138" s="322" t="n"/>
      <c r="F138" s="323" t="n"/>
      <c r="H138" s="322" t="n"/>
      <c r="K138" s="323" t="n"/>
    </row>
    <row r="139" ht="16" customHeight="1">
      <c r="C139" s="322" t="n"/>
      <c r="F139" s="323" t="n"/>
      <c r="H139" s="322" t="n"/>
      <c r="K139" s="323" t="n"/>
    </row>
    <row r="140" ht="16" customHeight="1">
      <c r="C140" s="322" t="n"/>
      <c r="F140" s="323" t="n"/>
      <c r="H140" s="322" t="n"/>
      <c r="K140" s="323" t="n"/>
    </row>
    <row r="141" ht="16" customHeight="1">
      <c r="C141" s="322" t="n"/>
      <c r="F141" s="323" t="n"/>
      <c r="H141" s="322" t="n"/>
      <c r="K141" s="323" t="n"/>
    </row>
    <row r="142" ht="16" customHeight="1">
      <c r="C142" s="322" t="n"/>
      <c r="F142" s="323" t="n"/>
      <c r="H142" s="322" t="n"/>
      <c r="K142" s="323" t="n"/>
    </row>
    <row r="143" ht="16" customHeight="1">
      <c r="C143" s="322" t="n"/>
      <c r="F143" s="323" t="n"/>
      <c r="H143" s="322" t="n"/>
      <c r="K143" s="323" t="n"/>
    </row>
    <row r="144" ht="16" customHeight="1">
      <c r="C144" s="322" t="n"/>
      <c r="F144" s="323" t="n"/>
      <c r="H144" s="322" t="n"/>
      <c r="K144" s="323" t="n"/>
    </row>
    <row r="145" ht="16" customHeight="1">
      <c r="C145" s="322" t="n"/>
      <c r="F145" s="323" t="n"/>
      <c r="H145" s="322" t="n"/>
      <c r="K145" s="323" t="n"/>
    </row>
    <row r="146" ht="16.5" customHeight="1">
      <c r="C146" s="333" t="n"/>
      <c r="D146" s="317" t="n"/>
      <c r="E146" s="317" t="n"/>
      <c r="F146" s="318" t="n"/>
      <c r="H146" s="333" t="n"/>
      <c r="I146" s="317" t="n"/>
      <c r="J146" s="317" t="n"/>
      <c r="K146" s="318" t="n"/>
    </row>
    <row r="147" ht="16" customHeight="1">
      <c r="D147" s="118" t="n"/>
    </row>
    <row r="149" ht="39.5" customHeight="1">
      <c r="C149" s="346" t="inlineStr">
        <is>
          <t>EEE</t>
        </is>
      </c>
      <c r="D149" s="296" t="n"/>
      <c r="E149" s="296" t="n"/>
      <c r="F149" s="297" t="n"/>
      <c r="H149" s="346" t="inlineStr">
        <is>
          <t>YYY</t>
        </is>
      </c>
      <c r="I149" s="296" t="n"/>
      <c r="J149" s="296" t="n"/>
      <c r="K149" s="297" t="n"/>
    </row>
    <row r="150" ht="25.25" customHeight="1">
      <c r="C150" s="347" t="inlineStr">
        <is>
          <t xml:space="preserve">Nombre del técnico que realizo el incidente </t>
        </is>
      </c>
      <c r="D150" s="296" t="n"/>
      <c r="E150" s="296" t="n"/>
      <c r="F150" s="297" t="n"/>
      <c r="H150" s="348" t="inlineStr">
        <is>
          <t xml:space="preserve">Supervisor / Jefe de Tecnología </t>
        </is>
      </c>
      <c r="I150" s="296" t="n"/>
      <c r="J150" s="296" t="n"/>
      <c r="K150" s="297" t="n"/>
    </row>
  </sheetData>
  <mergeCells count="84">
    <mergeCell ref="C150:F150"/>
    <mergeCell ref="F33:H33"/>
    <mergeCell ref="C40:E40"/>
    <mergeCell ref="C88:K90"/>
    <mergeCell ref="C125:F125"/>
    <mergeCell ref="C21:E21"/>
    <mergeCell ref="C60:E60"/>
    <mergeCell ref="F41:K43"/>
    <mergeCell ref="C23:E23"/>
    <mergeCell ref="C17:K17"/>
    <mergeCell ref="C57:E57"/>
    <mergeCell ref="H39:K39"/>
    <mergeCell ref="C3:K3"/>
    <mergeCell ref="H100:K120"/>
    <mergeCell ref="C100:F120"/>
    <mergeCell ref="F25:K25"/>
    <mergeCell ref="C97:K97"/>
    <mergeCell ref="C2:F2"/>
    <mergeCell ref="C20:E20"/>
    <mergeCell ref="C25:E25"/>
    <mergeCell ref="F59:K59"/>
    <mergeCell ref="H37:K37"/>
    <mergeCell ref="F55:K55"/>
    <mergeCell ref="C87:J87"/>
    <mergeCell ref="F24:K24"/>
    <mergeCell ref="C44:E46"/>
    <mergeCell ref="C22:E22"/>
    <mergeCell ref="C149:F149"/>
    <mergeCell ref="C59:E59"/>
    <mergeCell ref="F34:H35"/>
    <mergeCell ref="F23:K23"/>
    <mergeCell ref="D121:F123"/>
    <mergeCell ref="C61:E61"/>
    <mergeCell ref="C126:F146"/>
    <mergeCell ref="F56:K56"/>
    <mergeCell ref="F58:K58"/>
    <mergeCell ref="C91:K95"/>
    <mergeCell ref="F49:H49"/>
    <mergeCell ref="F60:K60"/>
    <mergeCell ref="C74:E81"/>
    <mergeCell ref="F57:K57"/>
    <mergeCell ref="C24:E24"/>
    <mergeCell ref="F39:G39"/>
    <mergeCell ref="C33:E33"/>
    <mergeCell ref="F63:K63"/>
    <mergeCell ref="C63:E63"/>
    <mergeCell ref="F20:K20"/>
    <mergeCell ref="I34:K35"/>
    <mergeCell ref="C55:E55"/>
    <mergeCell ref="C41:E43"/>
    <mergeCell ref="H126:K146"/>
    <mergeCell ref="C31:K31"/>
    <mergeCell ref="C34:E35"/>
    <mergeCell ref="F62:K62"/>
    <mergeCell ref="C36:E36"/>
    <mergeCell ref="H38:K38"/>
    <mergeCell ref="F61:K61"/>
    <mergeCell ref="F44:H44"/>
    <mergeCell ref="C37:E39"/>
    <mergeCell ref="C62:E62"/>
    <mergeCell ref="H2:K2"/>
    <mergeCell ref="C53:J53"/>
    <mergeCell ref="C86:J86"/>
    <mergeCell ref="C48:E49"/>
    <mergeCell ref="H149:K149"/>
    <mergeCell ref="F36:K36"/>
    <mergeCell ref="F45:H47"/>
    <mergeCell ref="C56:E56"/>
    <mergeCell ref="I33:K33"/>
    <mergeCell ref="H150:K150"/>
    <mergeCell ref="F22:K22"/>
    <mergeCell ref="F64:K73"/>
    <mergeCell ref="H125:K125"/>
    <mergeCell ref="F48:H48"/>
    <mergeCell ref="F38:G38"/>
    <mergeCell ref="C99:F99"/>
    <mergeCell ref="F74:K81"/>
    <mergeCell ref="C58:E58"/>
    <mergeCell ref="F37:G37"/>
    <mergeCell ref="C64:E73"/>
    <mergeCell ref="F40:K40"/>
    <mergeCell ref="H99:K99"/>
    <mergeCell ref="F21:K21"/>
    <mergeCell ref="C47:E47"/>
  </mergeCells>
  <pageMargins left="0.2362204724409449" right="0.2362204724409449" top="0.7480314960629921" bottom="0.7480314960629921" header="0.3149606299212598" footer="0.3149606299212598"/>
  <pageSetup orientation="portrait" scale="75" fitToWidth="1" useFirstPageNumber="1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2026-02-06T17:11:19Z</dcterms:created>
  <dcterms:modified xsi:type="dcterms:W3CDTF">2026-02-27T17:54:15Z</dcterms:modified>
  <cp:lastPrinted>2026-02-13T19:02:45Z</cp:lastPrinted>
</cp:coreProperties>
</file>